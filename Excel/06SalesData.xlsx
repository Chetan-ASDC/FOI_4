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C:\Users\Chetan Sharma\Desktop\ASDC\FOI_4\Excel\"/>
    </mc:Choice>
  </mc:AlternateContent>
  <xr:revisionPtr revIDLastSave="0" documentId="13_ncr:1_{5A11B182-B764-4AC5-83F4-232CEAF2ED1F}" xr6:coauthVersionLast="47" xr6:coauthVersionMax="47" xr10:uidLastSave="{00000000-0000-0000-0000-000000000000}"/>
  <bookViews>
    <workbookView xWindow="-120" yWindow="-120" windowWidth="20730" windowHeight="11040" firstSheet="2" activeTab="3" xr2:uid="{00000000-000D-0000-FFFF-FFFF00000000}"/>
  </bookViews>
  <sheets>
    <sheet name="Pivot Table" sheetId="9" r:id="rId1"/>
    <sheet name="Dashboard" sheetId="11" r:id="rId2"/>
    <sheet name="New Pivot" sheetId="13" r:id="rId3"/>
    <sheet name="Source" sheetId="1" r:id="rId4"/>
    <sheet name="Sheet1" sheetId="12" r:id="rId5"/>
    <sheet name="New Dashboard" sheetId="14" r:id="rId6"/>
    <sheet name="PivotTable - HINT" sheetId="8" r:id="rId7"/>
  </sheets>
  <definedNames>
    <definedName name="_xlcn.WorksheetConnection_06SalesData.xlsxTable11" hidden="1">Table1[]</definedName>
    <definedName name="Slicer_ProductID">#N/A</definedName>
    <definedName name="Slicer_Region1">#N/A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06Sales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1" i="12" l="1"/>
  <c r="I11" i="12"/>
  <c r="C14" i="13"/>
  <c r="C1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34E1AC-FF9B-4276-BE3D-D15549487D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813365-4956-4D6C-8B3F-D5A4052DA97D}" name="WorksheetConnection_06SalesData.xlsx!Table1" type="102" refreshedVersion="8" minRefreshableVersion="5">
    <extLst>
      <ext xmlns:x15="http://schemas.microsoft.com/office/spreadsheetml/2010/11/main" uri="{DE250136-89BD-433C-8126-D09CA5730AF9}">
        <x15:connection id="Table1">
          <x15:rangePr sourceName="_xlcn.WorksheetConnection_06SalesData.xlsxTable11"/>
        </x15:connection>
      </ext>
    </extLst>
  </connection>
</connections>
</file>

<file path=xl/sharedStrings.xml><?xml version="1.0" encoding="utf-8"?>
<sst xmlns="http://schemas.openxmlformats.org/spreadsheetml/2006/main" count="502" uniqueCount="48">
  <si>
    <t>OrderID</t>
  </si>
  <si>
    <t>ProductID</t>
  </si>
  <si>
    <t>Region</t>
  </si>
  <si>
    <t>Customer</t>
  </si>
  <si>
    <t>Quantity</t>
  </si>
  <si>
    <t>OrderDate</t>
  </si>
  <si>
    <t>UnitPrice</t>
  </si>
  <si>
    <t>Sales</t>
  </si>
  <si>
    <t>Profit</t>
  </si>
  <si>
    <t>South</t>
  </si>
  <si>
    <t>East</t>
  </si>
  <si>
    <t>West</t>
  </si>
  <si>
    <t>North</t>
  </si>
  <si>
    <t>Anita</t>
  </si>
  <si>
    <t>John</t>
  </si>
  <si>
    <t>Neha</t>
  </si>
  <si>
    <t>Ravi</t>
  </si>
  <si>
    <t>Pooja</t>
  </si>
  <si>
    <t>Vikas</t>
  </si>
  <si>
    <t>Sana</t>
  </si>
  <si>
    <t>Karan</t>
  </si>
  <si>
    <t>Grand Total</t>
  </si>
  <si>
    <t>1️⃣ Total Sales by Region
Drag fields like this:
Rows → Region
Values → Sales (Sum)
👉 Result: Shows total sales region-wise.</t>
  </si>
  <si>
    <t>2️⃣ Sales &amp; Profit by Product
Rows → ProductID
Values → Sales (Sum)
Values → Profit (Sum)
👉 Helps analyze product performance.</t>
  </si>
  <si>
    <t>3️⃣ Monthly Sales Trend
Rows → OrderDate
Right-click Date → Group
Select → Months (and Years if needed)
Values → Sales (Sum)
👉 Shows monthly revenue trend.</t>
  </si>
  <si>
    <t>4️⃣ Customer Wise Sales
Rows → Customer
Values → Sales
Sort Largest to Smallest
👉 Shows top customers.</t>
  </si>
  <si>
    <t>5️⃣ Region + Product Analysis (Advanced)
Rows → Region
Columns → ProductID
Values → Sales
👉 Good for management dashboard.</t>
  </si>
  <si>
    <t>🎯 Recommended Charts for Teaching</t>
  </si>
  <si>
    <t>Analysis</t>
  </si>
  <si>
    <t>Best Chart Type</t>
  </si>
  <si>
    <t>Sales by Region</t>
  </si>
  <si>
    <t>Clustered Column</t>
  </si>
  <si>
    <t>Monthly Sales</t>
  </si>
  <si>
    <t>Line Chart</t>
  </si>
  <si>
    <t>Profit Comparison</t>
  </si>
  <si>
    <t>Bar Chart</t>
  </si>
  <si>
    <t>Region Share</t>
  </si>
  <si>
    <t>Pie Chart</t>
  </si>
  <si>
    <t>Slicers → Region, ProductID, OrderDate</t>
  </si>
  <si>
    <t>Timeline → OrderDate</t>
  </si>
  <si>
    <t>Row Labels</t>
  </si>
  <si>
    <t>Sum of Sales</t>
  </si>
  <si>
    <t>Sum of Profit</t>
  </si>
  <si>
    <t>2023</t>
  </si>
  <si>
    <t>2024</t>
  </si>
  <si>
    <t xml:space="preserve">Total Sales </t>
  </si>
  <si>
    <t>Total Profit</t>
  </si>
  <si>
    <t>Lookup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</si>
</sst>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3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14" fontId="0" fillId="0" borderId="1" xfId="0" applyNumberFormat="1" applyBorder="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6" xfId="0" applyBorder="1"/>
    <xf numFmtId="0" fontId="0" fillId="0" borderId="7" xfId="0" applyBorder="1"/>
    <xf numFmtId="0" fontId="1" fillId="2" borderId="5" xfId="0" applyFont="1" applyFill="1" applyBorder="1" applyAlignment="1">
      <alignment horizontal="center" vertical="top"/>
    </xf>
    <xf numFmtId="0" fontId="1" fillId="2" borderId="8" xfId="0" applyFont="1" applyFill="1" applyBorder="1" applyAlignment="1">
      <alignment horizontal="center" vertical="top"/>
    </xf>
    <xf numFmtId="14" fontId="1" fillId="2" borderId="8" xfId="0" applyNumberFormat="1" applyFont="1" applyFill="1" applyBorder="1" applyAlignment="1">
      <alignment horizontal="center" vertical="top"/>
    </xf>
    <xf numFmtId="0" fontId="1" fillId="2" borderId="4" xfId="0" applyFont="1" applyFill="1" applyBorder="1" applyAlignment="1">
      <alignment horizontal="center" vertical="top"/>
    </xf>
    <xf numFmtId="0" fontId="0" fillId="0" borderId="3" xfId="0" applyBorder="1"/>
    <xf numFmtId="0" fontId="0" fillId="0" borderId="9" xfId="0" applyBorder="1"/>
    <xf numFmtId="14" fontId="0" fillId="0" borderId="9" xfId="0" applyNumberFormat="1" applyBorder="1"/>
    <xf numFmtId="0" fontId="0" fillId="0" borderId="2" xfId="0" applyBorder="1"/>
    <xf numFmtId="0" fontId="0" fillId="2" borderId="0" xfId="0" applyFill="1"/>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0" fontId="1" fillId="0" borderId="0" xfId="0" applyFont="1" applyAlignment="1">
      <alignment horizontal="center" vertical="top" wrapText="1"/>
    </xf>
    <xf numFmtId="0" fontId="1" fillId="0" borderId="0" xfId="0" applyFont="1" applyAlignment="1">
      <alignment horizontal="center" vertical="top"/>
    </xf>
    <xf numFmtId="0" fontId="0" fillId="0" borderId="0" xfId="0" applyAlignment="1">
      <alignment horizontal="center" vertical="top" wrapText="1"/>
    </xf>
    <xf numFmtId="0" fontId="0" fillId="0" borderId="0" xfId="0" applyAlignment="1">
      <alignment horizontal="center"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0" xfId="0" applyFont="1"/>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0" xfId="0" applyFill="1" applyBorder="1" applyAlignment="1">
      <alignment horizontal="center" vertical="center"/>
    </xf>
  </cellXfs>
  <cellStyles count="1">
    <cellStyle name="Normal" xfId="0" builtinId="0"/>
  </cellStyles>
  <dxfs count="13">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[06SalesData.xlsx]Pivot Table!PivotTable1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B59-4F33-9736-EFED9180778D}"/>
              </c:ext>
            </c:extLst>
          </c:dPt>
          <c:dPt>
            <c:idx val="1"/>
            <c:bubble3D val="0"/>
            <c:spPr>
              <a:gradFill rotWithShape="1">
                <a:gsLst>
                  <a:gs pos="0">
                    <a:schemeClr val="accent1">
                      <a:tint val="30000"/>
                      <a:shade val="51000"/>
                      <a:satMod val="130000"/>
                    </a:schemeClr>
                  </a:gs>
                  <a:gs pos="80000">
                    <a:schemeClr val="accent1">
                      <a:tint val="30000"/>
                      <a:shade val="93000"/>
                      <a:satMod val="130000"/>
                    </a:schemeClr>
                  </a:gs>
                  <a:gs pos="100000">
                    <a:schemeClr val="accent1">
                      <a:tint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B59-4F33-9736-EFED9180778D}"/>
              </c:ext>
            </c:extLst>
          </c:dPt>
          <c:dPt>
            <c:idx val="2"/>
            <c:bubble3D val="0"/>
            <c:spPr>
              <a:gradFill rotWithShape="1">
                <a:gsLst>
                  <a:gs pos="0">
                    <a:schemeClr val="accent1">
                      <a:tint val="60000"/>
                      <a:shade val="51000"/>
                      <a:satMod val="130000"/>
                    </a:schemeClr>
                  </a:gs>
                  <a:gs pos="80000">
                    <a:schemeClr val="accent1">
                      <a:tint val="60000"/>
                      <a:shade val="93000"/>
                      <a:satMod val="130000"/>
                    </a:schemeClr>
                  </a:gs>
                  <a:gs pos="100000">
                    <a:schemeClr val="accent1">
                      <a:tint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B59-4F33-9736-EFED9180778D}"/>
              </c:ext>
            </c:extLst>
          </c:dPt>
          <c:dPt>
            <c:idx val="3"/>
            <c:bubble3D val="0"/>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B59-4F33-9736-EFED918077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Table'!$A$4:$A$5</c:f>
              <c:strCache>
                <c:ptCount val="1"/>
                <c:pt idx="0">
                  <c:v>West</c:v>
                </c:pt>
              </c:strCache>
            </c:strRef>
          </c:cat>
          <c:val>
            <c:numRef>
              <c:f>'Pivot Table'!$B$4:$B$5</c:f>
              <c:numCache>
                <c:formatCode>General</c:formatCode>
                <c:ptCount val="1"/>
                <c:pt idx="0">
                  <c:v>7551772</c:v>
                </c:pt>
              </c:numCache>
            </c:numRef>
          </c:val>
          <c:extLst>
            <c:ext xmlns:c16="http://schemas.microsoft.com/office/drawing/2014/chart" uri="{C3380CC4-5D6E-409C-BE32-E72D297353CC}">
              <c16:uniqueId val="{00000008-AB59-4F33-9736-EFED918077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[06SalesData.xlsx]Pivot Table!PivotTable2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Table'!$E$4:$E$9</c:f>
              <c:strCache>
                <c:ptCount val="5"/>
                <c:pt idx="0">
                  <c:v>103</c:v>
                </c:pt>
                <c:pt idx="1">
                  <c:v>107</c:v>
                </c:pt>
                <c:pt idx="2">
                  <c:v>108</c:v>
                </c:pt>
                <c:pt idx="3">
                  <c:v>109</c:v>
                </c:pt>
                <c:pt idx="4">
                  <c:v>112</c:v>
                </c:pt>
              </c:strCache>
            </c:strRef>
          </c:cat>
          <c:val>
            <c:numRef>
              <c:f>'Pivot Table'!$F$4:$F$9</c:f>
              <c:numCache>
                <c:formatCode>General</c:formatCode>
                <c:ptCount val="5"/>
                <c:pt idx="0">
                  <c:v>550550</c:v>
                </c:pt>
                <c:pt idx="1">
                  <c:v>1099728</c:v>
                </c:pt>
                <c:pt idx="2">
                  <c:v>700258</c:v>
                </c:pt>
                <c:pt idx="3">
                  <c:v>671384</c:v>
                </c:pt>
                <c:pt idx="4">
                  <c:v>1340235</c:v>
                </c:pt>
              </c:numCache>
            </c:numRef>
          </c:val>
          <c:extLst>
            <c:ext xmlns:c16="http://schemas.microsoft.com/office/drawing/2014/chart" uri="{C3380CC4-5D6E-409C-BE32-E72D297353CC}">
              <c16:uniqueId val="{00000000-84D9-4BEB-B562-5F66742BF69A}"/>
            </c:ext>
          </c:extLst>
        </c:ser>
        <c:ser>
          <c:idx val="1"/>
          <c:order val="1"/>
          <c:tx>
            <c:strRef>
              <c:f>'Pivot Table'!$G$3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Table'!$E$4:$E$9</c:f>
              <c:strCache>
                <c:ptCount val="5"/>
                <c:pt idx="0">
                  <c:v>103</c:v>
                </c:pt>
                <c:pt idx="1">
                  <c:v>107</c:v>
                </c:pt>
                <c:pt idx="2">
                  <c:v>108</c:v>
                </c:pt>
                <c:pt idx="3">
                  <c:v>109</c:v>
                </c:pt>
                <c:pt idx="4">
                  <c:v>112</c:v>
                </c:pt>
              </c:strCache>
            </c:strRef>
          </c:cat>
          <c:val>
            <c:numRef>
              <c:f>'Pivot Table'!$G$4:$G$9</c:f>
              <c:numCache>
                <c:formatCode>General</c:formatCode>
                <c:ptCount val="5"/>
                <c:pt idx="0">
                  <c:v>81554.303090434289</c:v>
                </c:pt>
                <c:pt idx="1">
                  <c:v>196085.29714828232</c:v>
                </c:pt>
                <c:pt idx="2">
                  <c:v>97962.841109962043</c:v>
                </c:pt>
                <c:pt idx="3">
                  <c:v>77059.082586453194</c:v>
                </c:pt>
                <c:pt idx="4">
                  <c:v>220308.32955427773</c:v>
                </c:pt>
              </c:numCache>
            </c:numRef>
          </c:val>
          <c:extLst>
            <c:ext xmlns:c16="http://schemas.microsoft.com/office/drawing/2014/chart" uri="{C3380CC4-5D6E-409C-BE32-E72D297353CC}">
              <c16:uniqueId val="{00000001-84D9-4BEB-B562-5F66742BF69A}"/>
            </c:ext>
          </c:extLst>
        </c:ser>
        <c:dLbls>
          <c:showLegendKey val="0"/>
          <c:showVal val="0"/>
          <c:showCatName val="0"/>
          <c:showSerName val="0"/>
          <c:showPercent val="0"/>
          <c:showBubbleSize val="0"/>
        </c:dLbls>
        <c:gapWidth val="115"/>
        <c:overlap val="-20"/>
        <c:axId val="1300704448"/>
        <c:axId val="1697059440"/>
      </c:barChart>
      <c:catAx>
        <c:axId val="1300704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7059440"/>
        <c:crosses val="autoZero"/>
        <c:auto val="1"/>
        <c:lblAlgn val="ctr"/>
        <c:lblOffset val="100"/>
        <c:noMultiLvlLbl val="0"/>
      </c:catAx>
      <c:valAx>
        <c:axId val="1697059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70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[06SalesData.xlsx]Pivot Table!PivotTable3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Table'!$I$4:$I$6</c:f>
              <c:strCache>
                <c:ptCount val="2"/>
                <c:pt idx="0">
                  <c:v>2023</c:v>
                </c:pt>
                <c:pt idx="1">
                  <c:v>2024</c:v>
                </c:pt>
              </c:strCache>
            </c:strRef>
          </c:cat>
          <c:val>
            <c:numRef>
              <c:f>'Pivot Table'!$J$4:$J$6</c:f>
              <c:numCache>
                <c:formatCode>General</c:formatCode>
                <c:ptCount val="2"/>
                <c:pt idx="0">
                  <c:v>4366764</c:v>
                </c:pt>
                <c:pt idx="1">
                  <c:v>3185008</c:v>
                </c:pt>
              </c:numCache>
            </c:numRef>
          </c:val>
          <c:smooth val="0"/>
          <c:extLst>
            <c:ext xmlns:c16="http://schemas.microsoft.com/office/drawing/2014/chart" uri="{C3380CC4-5D6E-409C-BE32-E72D297353CC}">
              <c16:uniqueId val="{00000000-B900-4170-BDC1-3234A9F06995}"/>
            </c:ext>
          </c:extLst>
        </c:ser>
        <c:dLbls>
          <c:showLegendKey val="0"/>
          <c:showVal val="0"/>
          <c:showCatName val="0"/>
          <c:showSerName val="0"/>
          <c:showPercent val="0"/>
          <c:showBubbleSize val="0"/>
        </c:dLbls>
        <c:marker val="1"/>
        <c:smooth val="0"/>
        <c:axId val="1625664640"/>
        <c:axId val="1625666304"/>
      </c:lineChart>
      <c:catAx>
        <c:axId val="16256646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5666304"/>
        <c:crosses val="autoZero"/>
        <c:auto val="1"/>
        <c:lblAlgn val="ctr"/>
        <c:lblOffset val="100"/>
        <c:noMultiLvlLbl val="0"/>
      </c:catAx>
      <c:valAx>
        <c:axId val="1625666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566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[06SalesData.xlsx]Pivot Table!PivotTable4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Table'!$L$4:$L$12</c:f>
              <c:strCache>
                <c:ptCount val="8"/>
                <c:pt idx="0">
                  <c:v>Anita</c:v>
                </c:pt>
                <c:pt idx="1">
                  <c:v>John</c:v>
                </c:pt>
                <c:pt idx="2">
                  <c:v>Karan</c:v>
                </c:pt>
                <c:pt idx="3">
                  <c:v>Neha</c:v>
                </c:pt>
                <c:pt idx="4">
                  <c:v>Pooja</c:v>
                </c:pt>
                <c:pt idx="5">
                  <c:v>Ravi</c:v>
                </c:pt>
                <c:pt idx="6">
                  <c:v>Sana</c:v>
                </c:pt>
                <c:pt idx="7">
                  <c:v>Vikas</c:v>
                </c:pt>
              </c:strCache>
            </c:strRef>
          </c:cat>
          <c:val>
            <c:numRef>
              <c:f>'Pivot Table'!$M$4:$M$12</c:f>
              <c:numCache>
                <c:formatCode>General</c:formatCode>
                <c:ptCount val="8"/>
                <c:pt idx="0">
                  <c:v>1128272</c:v>
                </c:pt>
                <c:pt idx="1">
                  <c:v>772057</c:v>
                </c:pt>
                <c:pt idx="2">
                  <c:v>524209</c:v>
                </c:pt>
                <c:pt idx="3">
                  <c:v>1351089</c:v>
                </c:pt>
                <c:pt idx="4">
                  <c:v>1293206</c:v>
                </c:pt>
                <c:pt idx="5">
                  <c:v>1182969</c:v>
                </c:pt>
                <c:pt idx="6">
                  <c:v>712390</c:v>
                </c:pt>
                <c:pt idx="7">
                  <c:v>587580</c:v>
                </c:pt>
              </c:numCache>
            </c:numRef>
          </c:val>
          <c:extLst>
            <c:ext xmlns:c16="http://schemas.microsoft.com/office/drawing/2014/chart" uri="{C3380CC4-5D6E-409C-BE32-E72D297353CC}">
              <c16:uniqueId val="{00000000-6E17-4633-A264-A4CB04D29833}"/>
            </c:ext>
          </c:extLst>
        </c:ser>
        <c:dLbls>
          <c:showLegendKey val="0"/>
          <c:showVal val="0"/>
          <c:showCatName val="0"/>
          <c:showSerName val="0"/>
          <c:showPercent val="0"/>
          <c:showBubbleSize val="0"/>
        </c:dLbls>
        <c:gapWidth val="100"/>
        <c:overlap val="-24"/>
        <c:axId val="1489175056"/>
        <c:axId val="1489176304"/>
      </c:barChart>
      <c:catAx>
        <c:axId val="1489175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176304"/>
        <c:crosses val="autoZero"/>
        <c:auto val="1"/>
        <c:lblAlgn val="ctr"/>
        <c:lblOffset val="100"/>
        <c:noMultiLvlLbl val="0"/>
      </c:catAx>
      <c:valAx>
        <c:axId val="1489176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17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[06SalesData.xlsx]New Pivot!PivotTable1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26312558114977"/>
              <c:y val="-0.112280701754385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286549312658497"/>
              <c:y val="0.17777777777777778"/>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2612078828543283"/>
              <c:y val="8.4210526315789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4814810266976633"/>
              <c:y val="-0.15906432748538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'New Pivot'!$B$3</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DDE1-4E67-8CF6-0A21F3B214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1-4E67-8CF6-0A21F3B214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E1-4E67-8CF6-0A21F3B214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E1-4E67-8CF6-0A21F3B21414}"/>
              </c:ext>
            </c:extLst>
          </c:dPt>
          <c:dLbls>
            <c:dLbl>
              <c:idx val="0"/>
              <c:layout>
                <c:manualLayout>
                  <c:x val="-0.14814810266976633"/>
                  <c:y val="-0.1590643274853801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E1-4E67-8CF6-0A21F3B214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Pivot'!$A$4:$A$5</c:f>
              <c:strCache>
                <c:ptCount val="1"/>
                <c:pt idx="0">
                  <c:v>West</c:v>
                </c:pt>
              </c:strCache>
            </c:strRef>
          </c:cat>
          <c:val>
            <c:numRef>
              <c:f>'New Pivot'!$B$4:$B$5</c:f>
              <c:numCache>
                <c:formatCode>General</c:formatCode>
                <c:ptCount val="1"/>
                <c:pt idx="0">
                  <c:v>7551772</c:v>
                </c:pt>
              </c:numCache>
            </c:numRef>
          </c:val>
          <c:extLst>
            <c:ext xmlns:c16="http://schemas.microsoft.com/office/drawing/2014/chart" uri="{C3380CC4-5D6E-409C-BE32-E72D297353CC}">
              <c16:uniqueId val="{00000008-DDE1-4E67-8CF6-0A21F3B2141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[06SalesData.xlsx]New Pivot!PivotTable2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Pivot'!$E$3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Pivot'!$D$4:$D$9</c:f>
              <c:strCache>
                <c:ptCount val="5"/>
                <c:pt idx="0">
                  <c:v>103</c:v>
                </c:pt>
                <c:pt idx="1">
                  <c:v>107</c:v>
                </c:pt>
                <c:pt idx="2">
                  <c:v>108</c:v>
                </c:pt>
                <c:pt idx="3">
                  <c:v>109</c:v>
                </c:pt>
                <c:pt idx="4">
                  <c:v>112</c:v>
                </c:pt>
              </c:strCache>
            </c:strRef>
          </c:cat>
          <c:val>
            <c:numRef>
              <c:f>'New Pivot'!$E$4:$E$9</c:f>
              <c:numCache>
                <c:formatCode>General</c:formatCode>
                <c:ptCount val="5"/>
                <c:pt idx="0">
                  <c:v>550550</c:v>
                </c:pt>
                <c:pt idx="1">
                  <c:v>1099728</c:v>
                </c:pt>
                <c:pt idx="2">
                  <c:v>700258</c:v>
                </c:pt>
                <c:pt idx="3">
                  <c:v>671384</c:v>
                </c:pt>
                <c:pt idx="4">
                  <c:v>1340235</c:v>
                </c:pt>
              </c:numCache>
            </c:numRef>
          </c:val>
          <c:extLst>
            <c:ext xmlns:c16="http://schemas.microsoft.com/office/drawing/2014/chart" uri="{C3380CC4-5D6E-409C-BE32-E72D297353CC}">
              <c16:uniqueId val="{00000000-701A-49AC-946C-5AA338E4C81A}"/>
            </c:ext>
          </c:extLst>
        </c:ser>
        <c:ser>
          <c:idx val="1"/>
          <c:order val="1"/>
          <c:tx>
            <c:strRef>
              <c:f>'New Pivot'!$F$3</c:f>
              <c:strCache>
                <c:ptCount val="1"/>
                <c:pt idx="0">
                  <c:v>Sum of Profit</c:v>
                </c:pt>
              </c:strCache>
            </c:strRef>
          </c:tx>
          <c:spPr>
            <a:solidFill>
              <a:schemeClr val="accent2"/>
            </a:solidFill>
            <a:ln>
              <a:noFill/>
            </a:ln>
            <a:effectLst/>
          </c:spPr>
          <c:invertIfNegative val="0"/>
          <c:cat>
            <c:strRef>
              <c:f>'New Pivot'!$D$4:$D$9</c:f>
              <c:strCache>
                <c:ptCount val="5"/>
                <c:pt idx="0">
                  <c:v>103</c:v>
                </c:pt>
                <c:pt idx="1">
                  <c:v>107</c:v>
                </c:pt>
                <c:pt idx="2">
                  <c:v>108</c:v>
                </c:pt>
                <c:pt idx="3">
                  <c:v>109</c:v>
                </c:pt>
                <c:pt idx="4">
                  <c:v>112</c:v>
                </c:pt>
              </c:strCache>
            </c:strRef>
          </c:cat>
          <c:val>
            <c:numRef>
              <c:f>'New Pivot'!$F$4:$F$9</c:f>
              <c:numCache>
                <c:formatCode>General</c:formatCode>
                <c:ptCount val="5"/>
                <c:pt idx="0">
                  <c:v>81554.303090434289</c:v>
                </c:pt>
                <c:pt idx="1">
                  <c:v>196085.29714828232</c:v>
                </c:pt>
                <c:pt idx="2">
                  <c:v>97962.841109962043</c:v>
                </c:pt>
                <c:pt idx="3">
                  <c:v>77059.082586453194</c:v>
                </c:pt>
                <c:pt idx="4">
                  <c:v>220308.32955427773</c:v>
                </c:pt>
              </c:numCache>
            </c:numRef>
          </c:val>
          <c:extLst>
            <c:ext xmlns:c16="http://schemas.microsoft.com/office/drawing/2014/chart" uri="{C3380CC4-5D6E-409C-BE32-E72D297353CC}">
              <c16:uniqueId val="{00000001-701A-49AC-946C-5AA338E4C81A}"/>
            </c:ext>
          </c:extLst>
        </c:ser>
        <c:dLbls>
          <c:showLegendKey val="0"/>
          <c:showVal val="0"/>
          <c:showCatName val="0"/>
          <c:showSerName val="0"/>
          <c:showPercent val="0"/>
          <c:showBubbleSize val="0"/>
        </c:dLbls>
        <c:gapWidth val="219"/>
        <c:overlap val="-27"/>
        <c:axId val="702572383"/>
        <c:axId val="702573215"/>
      </c:barChart>
      <c:catAx>
        <c:axId val="70257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3215"/>
        <c:crosses val="autoZero"/>
        <c:auto val="1"/>
        <c:lblAlgn val="ctr"/>
        <c:lblOffset val="100"/>
        <c:noMultiLvlLbl val="0"/>
      </c:catAx>
      <c:valAx>
        <c:axId val="70257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161925</xdr:rowOff>
    </xdr:from>
    <xdr:to>
      <xdr:col>20</xdr:col>
      <xdr:colOff>171450</xdr:colOff>
      <xdr:row>21</xdr:row>
      <xdr:rowOff>19050</xdr:rowOff>
    </xdr:to>
    <xdr:sp macro="" textlink="">
      <xdr:nvSpPr>
        <xdr:cNvPr id="2" name="Rectangle 1">
          <a:extLst>
            <a:ext uri="{FF2B5EF4-FFF2-40B4-BE49-F238E27FC236}">
              <a16:creationId xmlns:a16="http://schemas.microsoft.com/office/drawing/2014/main" id="{18D1A652-2CE9-8CC7-3031-225C5C78FCA5}"/>
            </a:ext>
          </a:extLst>
        </xdr:cNvPr>
        <xdr:cNvSpPr/>
      </xdr:nvSpPr>
      <xdr:spPr>
        <a:xfrm>
          <a:off x="161925" y="161925"/>
          <a:ext cx="12201525" cy="38576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247650</xdr:colOff>
      <xdr:row>1</xdr:row>
      <xdr:rowOff>76201</xdr:rowOff>
    </xdr:from>
    <xdr:to>
      <xdr:col>2</xdr:col>
      <xdr:colOff>238125</xdr:colOff>
      <xdr:row>9</xdr:row>
      <xdr:rowOff>133351</xdr:rowOff>
    </xdr:to>
    <xdr:sp macro="" textlink="">
      <xdr:nvSpPr>
        <xdr:cNvPr id="3" name="Rectangle 2">
          <a:extLst>
            <a:ext uri="{FF2B5EF4-FFF2-40B4-BE49-F238E27FC236}">
              <a16:creationId xmlns:a16="http://schemas.microsoft.com/office/drawing/2014/main" id="{B7702E7F-4A85-3F96-CDA7-F2F4CFA75FFA}"/>
            </a:ext>
          </a:extLst>
        </xdr:cNvPr>
        <xdr:cNvSpPr/>
      </xdr:nvSpPr>
      <xdr:spPr>
        <a:xfrm>
          <a:off x="247650" y="266701"/>
          <a:ext cx="1209675" cy="158115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257175</xdr:colOff>
      <xdr:row>10</xdr:row>
      <xdr:rowOff>114300</xdr:rowOff>
    </xdr:from>
    <xdr:to>
      <xdr:col>2</xdr:col>
      <xdr:colOff>247650</xdr:colOff>
      <xdr:row>20</xdr:row>
      <xdr:rowOff>133350</xdr:rowOff>
    </xdr:to>
    <xdr:sp macro="" textlink="">
      <xdr:nvSpPr>
        <xdr:cNvPr id="4" name="Rectangle 3">
          <a:extLst>
            <a:ext uri="{FF2B5EF4-FFF2-40B4-BE49-F238E27FC236}">
              <a16:creationId xmlns:a16="http://schemas.microsoft.com/office/drawing/2014/main" id="{D37BFA66-3D11-4692-9FA4-A877B2E63BF1}"/>
            </a:ext>
          </a:extLst>
        </xdr:cNvPr>
        <xdr:cNvSpPr/>
      </xdr:nvSpPr>
      <xdr:spPr>
        <a:xfrm>
          <a:off x="257175" y="2019300"/>
          <a:ext cx="1209675" cy="192405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361950</xdr:colOff>
      <xdr:row>1</xdr:row>
      <xdr:rowOff>85725</xdr:rowOff>
    </xdr:from>
    <xdr:to>
      <xdr:col>10</xdr:col>
      <xdr:colOff>419099</xdr:colOff>
      <xdr:row>4</xdr:row>
      <xdr:rowOff>133350</xdr:rowOff>
    </xdr:to>
    <xdr:sp macro="" textlink="">
      <xdr:nvSpPr>
        <xdr:cNvPr id="5" name="Rectangle: Rounded Corners 4">
          <a:extLst>
            <a:ext uri="{FF2B5EF4-FFF2-40B4-BE49-F238E27FC236}">
              <a16:creationId xmlns:a16="http://schemas.microsoft.com/office/drawing/2014/main" id="{977C3B40-67DD-9285-D223-97F709A97233}"/>
            </a:ext>
          </a:extLst>
        </xdr:cNvPr>
        <xdr:cNvSpPr/>
      </xdr:nvSpPr>
      <xdr:spPr>
        <a:xfrm>
          <a:off x="1581150" y="276225"/>
          <a:ext cx="4933949" cy="619125"/>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3200">
              <a:solidFill>
                <a:schemeClr val="tx1"/>
              </a:solidFill>
              <a:latin typeface="+mn-lt"/>
              <a:ea typeface="+mn-ea"/>
              <a:cs typeface="+mn-cs"/>
            </a:rPr>
            <a:t>Diwali</a:t>
          </a:r>
          <a:r>
            <a:rPr lang="en-IN" sz="3200">
              <a:solidFill>
                <a:schemeClr val="lt1"/>
              </a:solidFill>
              <a:latin typeface="+mn-lt"/>
              <a:ea typeface="+mn-ea"/>
              <a:cs typeface="+mn-cs"/>
            </a:rPr>
            <a:t> </a:t>
          </a:r>
          <a:r>
            <a:rPr lang="en-IN" sz="3200">
              <a:solidFill>
                <a:schemeClr val="tx1"/>
              </a:solidFill>
              <a:latin typeface="+mn-lt"/>
              <a:ea typeface="+mn-ea"/>
              <a:cs typeface="+mn-cs"/>
            </a:rPr>
            <a:t>Sales Dashboard</a:t>
          </a:r>
        </a:p>
      </xdr:txBody>
    </xdr:sp>
    <xdr:clientData/>
  </xdr:twoCellAnchor>
  <xdr:twoCellAnchor>
    <xdr:from>
      <xdr:col>2</xdr:col>
      <xdr:colOff>466725</xdr:colOff>
      <xdr:row>5</xdr:row>
      <xdr:rowOff>114300</xdr:rowOff>
    </xdr:from>
    <xdr:to>
      <xdr:col>6</xdr:col>
      <xdr:colOff>371475</xdr:colOff>
      <xdr:row>20</xdr:row>
      <xdr:rowOff>85725</xdr:rowOff>
    </xdr:to>
    <xdr:sp macro="" textlink="">
      <xdr:nvSpPr>
        <xdr:cNvPr id="6" name="Rectangle 5">
          <a:extLst>
            <a:ext uri="{FF2B5EF4-FFF2-40B4-BE49-F238E27FC236}">
              <a16:creationId xmlns:a16="http://schemas.microsoft.com/office/drawing/2014/main" id="{C8226750-84EF-6491-3587-B466F1ABCBF1}"/>
            </a:ext>
          </a:extLst>
        </xdr:cNvPr>
        <xdr:cNvSpPr/>
      </xdr:nvSpPr>
      <xdr:spPr>
        <a:xfrm>
          <a:off x="1685925" y="1066800"/>
          <a:ext cx="2343150" cy="2828925"/>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571500</xdr:colOff>
      <xdr:row>5</xdr:row>
      <xdr:rowOff>114300</xdr:rowOff>
    </xdr:from>
    <xdr:to>
      <xdr:col>10</xdr:col>
      <xdr:colOff>476250</xdr:colOff>
      <xdr:row>20</xdr:row>
      <xdr:rowOff>85725</xdr:rowOff>
    </xdr:to>
    <xdr:sp macro="" textlink="">
      <xdr:nvSpPr>
        <xdr:cNvPr id="7" name="Rectangle 6">
          <a:extLst>
            <a:ext uri="{FF2B5EF4-FFF2-40B4-BE49-F238E27FC236}">
              <a16:creationId xmlns:a16="http://schemas.microsoft.com/office/drawing/2014/main" id="{4F0CB78B-6D87-4221-8867-C75DEBEC7334}"/>
            </a:ext>
          </a:extLst>
        </xdr:cNvPr>
        <xdr:cNvSpPr/>
      </xdr:nvSpPr>
      <xdr:spPr>
        <a:xfrm>
          <a:off x="4229100" y="1066800"/>
          <a:ext cx="2343150" cy="2828925"/>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57149</xdr:colOff>
      <xdr:row>1</xdr:row>
      <xdr:rowOff>180975</xdr:rowOff>
    </xdr:from>
    <xdr:to>
      <xdr:col>15</xdr:col>
      <xdr:colOff>352424</xdr:colOff>
      <xdr:row>20</xdr:row>
      <xdr:rowOff>57150</xdr:rowOff>
    </xdr:to>
    <xdr:sp macro="" textlink="">
      <xdr:nvSpPr>
        <xdr:cNvPr id="8" name="Rectangle 7">
          <a:extLst>
            <a:ext uri="{FF2B5EF4-FFF2-40B4-BE49-F238E27FC236}">
              <a16:creationId xmlns:a16="http://schemas.microsoft.com/office/drawing/2014/main" id="{60810990-0F56-4064-BA49-5A34A31AE19F}"/>
            </a:ext>
          </a:extLst>
        </xdr:cNvPr>
        <xdr:cNvSpPr/>
      </xdr:nvSpPr>
      <xdr:spPr>
        <a:xfrm>
          <a:off x="6762749" y="371475"/>
          <a:ext cx="2733675" cy="3495675"/>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571500</xdr:colOff>
      <xdr:row>1</xdr:row>
      <xdr:rowOff>142876</xdr:rowOff>
    </xdr:from>
    <xdr:to>
      <xdr:col>20</xdr:col>
      <xdr:colOff>28575</xdr:colOff>
      <xdr:row>20</xdr:row>
      <xdr:rowOff>47626</xdr:rowOff>
    </xdr:to>
    <xdr:sp macro="" textlink="">
      <xdr:nvSpPr>
        <xdr:cNvPr id="9" name="Rectangle 8">
          <a:extLst>
            <a:ext uri="{FF2B5EF4-FFF2-40B4-BE49-F238E27FC236}">
              <a16:creationId xmlns:a16="http://schemas.microsoft.com/office/drawing/2014/main" id="{2DCE2172-A193-44E8-9AAB-CDB064F982B6}"/>
            </a:ext>
          </a:extLst>
        </xdr:cNvPr>
        <xdr:cNvSpPr/>
      </xdr:nvSpPr>
      <xdr:spPr>
        <a:xfrm>
          <a:off x="9715500" y="333376"/>
          <a:ext cx="2505075" cy="3524250"/>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533401</xdr:colOff>
      <xdr:row>5</xdr:row>
      <xdr:rowOff>161925</xdr:rowOff>
    </xdr:from>
    <xdr:to>
      <xdr:col>6</xdr:col>
      <xdr:colOff>238125</xdr:colOff>
      <xdr:row>20</xdr:row>
      <xdr:rowOff>38100</xdr:rowOff>
    </xdr:to>
    <xdr:graphicFrame macro="">
      <xdr:nvGraphicFramePr>
        <xdr:cNvPr id="11" name="Chart 10">
          <a:extLst>
            <a:ext uri="{FF2B5EF4-FFF2-40B4-BE49-F238E27FC236}">
              <a16:creationId xmlns:a16="http://schemas.microsoft.com/office/drawing/2014/main" id="{B56D72EE-8A22-46C2-8F50-7BE580530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133350</xdr:colOff>
      <xdr:row>2</xdr:row>
      <xdr:rowOff>114301</xdr:rowOff>
    </xdr:from>
    <xdr:to>
      <xdr:col>15</xdr:col>
      <xdr:colOff>295275</xdr:colOff>
      <xdr:row>19</xdr:row>
      <xdr:rowOff>161925</xdr:rowOff>
    </xdr:to>
    <xdr:graphicFrame macro="">
      <xdr:nvGraphicFramePr>
        <xdr:cNvPr id="12" name="Chart 11">
          <a:extLst>
            <a:ext uri="{FF2B5EF4-FFF2-40B4-BE49-F238E27FC236}">
              <a16:creationId xmlns:a16="http://schemas.microsoft.com/office/drawing/2014/main" id="{BBA6C20D-1231-4CBD-8D76-1B3C6CD48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xdr:colOff>
      <xdr:row>6</xdr:row>
      <xdr:rowOff>28574</xdr:rowOff>
    </xdr:from>
    <xdr:to>
      <xdr:col>10</xdr:col>
      <xdr:colOff>314325</xdr:colOff>
      <xdr:row>19</xdr:row>
      <xdr:rowOff>190499</xdr:rowOff>
    </xdr:to>
    <xdr:graphicFrame macro="">
      <xdr:nvGraphicFramePr>
        <xdr:cNvPr id="13" name="Chart 12">
          <a:extLst>
            <a:ext uri="{FF2B5EF4-FFF2-40B4-BE49-F238E27FC236}">
              <a16:creationId xmlns:a16="http://schemas.microsoft.com/office/drawing/2014/main" id="{FC27F5C8-AB62-42A8-892A-DD7D57C34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xdr:colOff>
      <xdr:row>2</xdr:row>
      <xdr:rowOff>85725</xdr:rowOff>
    </xdr:from>
    <xdr:to>
      <xdr:col>19</xdr:col>
      <xdr:colOff>581026</xdr:colOff>
      <xdr:row>20</xdr:row>
      <xdr:rowOff>0</xdr:rowOff>
    </xdr:to>
    <xdr:graphicFrame macro="">
      <xdr:nvGraphicFramePr>
        <xdr:cNvPr id="14" name="Chart 13">
          <a:extLst>
            <a:ext uri="{FF2B5EF4-FFF2-40B4-BE49-F238E27FC236}">
              <a16:creationId xmlns:a16="http://schemas.microsoft.com/office/drawing/2014/main" id="{62966D8B-07FE-4CD2-9BA2-4B9953D91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276225</xdr:colOff>
      <xdr:row>1</xdr:row>
      <xdr:rowOff>142876</xdr:rowOff>
    </xdr:from>
    <xdr:to>
      <xdr:col>2</xdr:col>
      <xdr:colOff>200025</xdr:colOff>
      <xdr:row>9</xdr:row>
      <xdr:rowOff>104775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E5A2D88F-9D4D-4EE9-B13D-25692C8BAE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6225" y="333376"/>
              <a:ext cx="11430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10</xdr:row>
      <xdr:rowOff>171450</xdr:rowOff>
    </xdr:from>
    <xdr:to>
      <xdr:col>2</xdr:col>
      <xdr:colOff>190501</xdr:colOff>
      <xdr:row>20</xdr:row>
      <xdr:rowOff>114299</xdr:rowOff>
    </xdr:to>
    <mc:AlternateContent xmlns:mc="http://schemas.openxmlformats.org/markup-compatibility/2006" xmlns:a14="http://schemas.microsoft.com/office/drawing/2010/main">
      <mc:Choice Requires="a14">
        <xdr:graphicFrame macro="">
          <xdr:nvGraphicFramePr>
            <xdr:cNvPr id="16" name="ProductID">
              <a:extLst>
                <a:ext uri="{FF2B5EF4-FFF2-40B4-BE49-F238E27FC236}">
                  <a16:creationId xmlns:a16="http://schemas.microsoft.com/office/drawing/2014/main" id="{BB1FBFAA-6CA7-4E21-AEF3-F61792E31F4D}"/>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mlns="">
        <xdr:sp macro="" textlink="">
          <xdr:nvSpPr>
            <xdr:cNvPr id="0" name=""/>
            <xdr:cNvSpPr>
              <a:spLocks noTextEdit="1"/>
            </xdr:cNvSpPr>
          </xdr:nvSpPr>
          <xdr:spPr>
            <a:xfrm>
              <a:off x="314325" y="2076450"/>
              <a:ext cx="1095376" cy="184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247650</xdr:colOff>
      <xdr:row>0</xdr:row>
      <xdr:rowOff>114300</xdr:rowOff>
    </xdr:from>
    <xdr:to>
      <xdr:col>20</xdr:col>
      <xdr:colOff>142875</xdr:colOff>
      <xdr:row>20</xdr:row>
      <xdr:rowOff>161925</xdr:rowOff>
    </xdr:to>
    <xdr:sp macro="" textlink="">
      <xdr:nvSpPr>
        <xdr:cNvPr id="3" name="Rectangle 2">
          <a:extLst>
            <a:ext uri="{FF2B5EF4-FFF2-40B4-BE49-F238E27FC236}">
              <a16:creationId xmlns:a16="http://schemas.microsoft.com/office/drawing/2014/main" id="{A66E58CD-B898-FE19-092D-23B515B41A7A}"/>
            </a:ext>
          </a:extLst>
        </xdr:cNvPr>
        <xdr:cNvSpPr/>
      </xdr:nvSpPr>
      <xdr:spPr>
        <a:xfrm>
          <a:off x="247650" y="114300"/>
          <a:ext cx="12087225" cy="38576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0</xdr:row>
      <xdr:rowOff>171450</xdr:rowOff>
    </xdr:from>
    <xdr:to>
      <xdr:col>6</xdr:col>
      <xdr:colOff>561975</xdr:colOff>
      <xdr:row>4</xdr:row>
      <xdr:rowOff>76200</xdr:rowOff>
    </xdr:to>
    <xdr:sp macro="" textlink="">
      <xdr:nvSpPr>
        <xdr:cNvPr id="4" name="Rectangle 3">
          <a:extLst>
            <a:ext uri="{FF2B5EF4-FFF2-40B4-BE49-F238E27FC236}">
              <a16:creationId xmlns:a16="http://schemas.microsoft.com/office/drawing/2014/main" id="{40C729DE-179D-4C09-BCA5-6DE2CA4F4D61}"/>
            </a:ext>
          </a:extLst>
        </xdr:cNvPr>
        <xdr:cNvSpPr/>
      </xdr:nvSpPr>
      <xdr:spPr>
        <a:xfrm>
          <a:off x="419100" y="171450"/>
          <a:ext cx="3800475" cy="6667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409575</xdr:colOff>
      <xdr:row>5</xdr:row>
      <xdr:rowOff>95250</xdr:rowOff>
    </xdr:from>
    <xdr:to>
      <xdr:col>7</xdr:col>
      <xdr:colOff>238125</xdr:colOff>
      <xdr:row>20</xdr:row>
      <xdr:rowOff>57150</xdr:rowOff>
    </xdr:to>
    <xdr:sp macro="" textlink="">
      <xdr:nvSpPr>
        <xdr:cNvPr id="5" name="Rectangle 4">
          <a:extLst>
            <a:ext uri="{FF2B5EF4-FFF2-40B4-BE49-F238E27FC236}">
              <a16:creationId xmlns:a16="http://schemas.microsoft.com/office/drawing/2014/main" id="{260EDB06-F5CA-B090-8ED8-7CCF0D9E4AF6}"/>
            </a:ext>
          </a:extLst>
        </xdr:cNvPr>
        <xdr:cNvSpPr/>
      </xdr:nvSpPr>
      <xdr:spPr>
        <a:xfrm>
          <a:off x="409575" y="1047750"/>
          <a:ext cx="4095750" cy="28194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400049</xdr:colOff>
      <xdr:row>5</xdr:row>
      <xdr:rowOff>104775</xdr:rowOff>
    </xdr:from>
    <xdr:to>
      <xdr:col>13</xdr:col>
      <xdr:colOff>200024</xdr:colOff>
      <xdr:row>20</xdr:row>
      <xdr:rowOff>76200</xdr:rowOff>
    </xdr:to>
    <xdr:sp macro="" textlink="">
      <xdr:nvSpPr>
        <xdr:cNvPr id="7" name="Rectangle 6">
          <a:extLst>
            <a:ext uri="{FF2B5EF4-FFF2-40B4-BE49-F238E27FC236}">
              <a16:creationId xmlns:a16="http://schemas.microsoft.com/office/drawing/2014/main" id="{ECF96384-2E48-40B9-8BBA-4505648C2825}"/>
            </a:ext>
          </a:extLst>
        </xdr:cNvPr>
        <xdr:cNvSpPr/>
      </xdr:nvSpPr>
      <xdr:spPr>
        <a:xfrm>
          <a:off x="4667249" y="1057275"/>
          <a:ext cx="3457575" cy="28289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½--</a:t>
          </a:r>
        </a:p>
      </xdr:txBody>
    </xdr:sp>
    <xdr:clientData/>
  </xdr:twoCellAnchor>
  <xdr:twoCellAnchor>
    <xdr:from>
      <xdr:col>7</xdr:col>
      <xdr:colOff>180975</xdr:colOff>
      <xdr:row>1</xdr:row>
      <xdr:rowOff>19050</xdr:rowOff>
    </xdr:from>
    <xdr:to>
      <xdr:col>13</xdr:col>
      <xdr:colOff>228600</xdr:colOff>
      <xdr:row>4</xdr:row>
      <xdr:rowOff>133350</xdr:rowOff>
    </xdr:to>
    <xdr:sp macro="" textlink="">
      <xdr:nvSpPr>
        <xdr:cNvPr id="8" name="Rectangle 7">
          <a:extLst>
            <a:ext uri="{FF2B5EF4-FFF2-40B4-BE49-F238E27FC236}">
              <a16:creationId xmlns:a16="http://schemas.microsoft.com/office/drawing/2014/main" id="{D45EA1E6-1598-8D21-9D49-E84FC37E7F6F}"/>
            </a:ext>
          </a:extLst>
        </xdr:cNvPr>
        <xdr:cNvSpPr/>
      </xdr:nvSpPr>
      <xdr:spPr>
        <a:xfrm>
          <a:off x="4448175" y="209550"/>
          <a:ext cx="3705225" cy="6858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476249</xdr:colOff>
      <xdr:row>5</xdr:row>
      <xdr:rowOff>152399</xdr:rowOff>
    </xdr:from>
    <xdr:to>
      <xdr:col>13</xdr:col>
      <xdr:colOff>76200</xdr:colOff>
      <xdr:row>20</xdr:row>
      <xdr:rowOff>9524</xdr:rowOff>
    </xdr:to>
    <xdr:graphicFrame macro="">
      <xdr:nvGraphicFramePr>
        <xdr:cNvPr id="9" name="Chart 8">
          <a:extLst>
            <a:ext uri="{FF2B5EF4-FFF2-40B4-BE49-F238E27FC236}">
              <a16:creationId xmlns:a16="http://schemas.microsoft.com/office/drawing/2014/main" id="{86C5404B-8662-4369-9134-0018C27DA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457200</xdr:colOff>
      <xdr:row>5</xdr:row>
      <xdr:rowOff>161925</xdr:rowOff>
    </xdr:from>
    <xdr:to>
      <xdr:col>7</xdr:col>
      <xdr:colOff>180975</xdr:colOff>
      <xdr:row>20</xdr:row>
      <xdr:rowOff>47625</xdr:rowOff>
    </xdr:to>
    <xdr:graphicFrame macro="">
      <xdr:nvGraphicFramePr>
        <xdr:cNvPr id="10" name="Chart 9">
          <a:extLst>
            <a:ext uri="{FF2B5EF4-FFF2-40B4-BE49-F238E27FC236}">
              <a16:creationId xmlns:a16="http://schemas.microsoft.com/office/drawing/2014/main" id="{5E615D62-BDCB-4CF9-A284-4AD17947C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514349</xdr:colOff>
      <xdr:row>1</xdr:row>
      <xdr:rowOff>123827</xdr:rowOff>
    </xdr:from>
    <xdr:to>
      <xdr:col>12</xdr:col>
      <xdr:colOff>447674</xdr:colOff>
      <xdr:row>4</xdr:row>
      <xdr:rowOff>19051</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9BC58055-5DB0-41A0-94CB-F01FDE9CF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781549" y="314327"/>
              <a:ext cx="2981325" cy="466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47625</xdr:colOff>
      <xdr:row>1</xdr:row>
      <xdr:rowOff>57149</xdr:rowOff>
    </xdr:from>
    <xdr:to>
      <xdr:col>17</xdr:col>
      <xdr:colOff>533400</xdr:colOff>
      <xdr:row>8</xdr:row>
      <xdr:rowOff>180974</xdr:rowOff>
    </xdr:to>
    <xdr:sp macro="" textlink="">
      <xdr:nvSpPr>
        <xdr:cNvPr id="12" name="Rectangle 11">
          <a:extLst>
            <a:ext uri="{FF2B5EF4-FFF2-40B4-BE49-F238E27FC236}">
              <a16:creationId xmlns:a16="http://schemas.microsoft.com/office/drawing/2014/main" id="{8476C5F7-6636-8ECE-AB3C-57711071A0BD}"/>
            </a:ext>
          </a:extLst>
        </xdr:cNvPr>
        <xdr:cNvSpPr/>
      </xdr:nvSpPr>
      <xdr:spPr>
        <a:xfrm>
          <a:off x="8582025" y="247649"/>
          <a:ext cx="2314575" cy="1457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133350</xdr:colOff>
      <xdr:row>1</xdr:row>
      <xdr:rowOff>180975</xdr:rowOff>
    </xdr:from>
    <xdr:to>
      <xdr:col>17</xdr:col>
      <xdr:colOff>447675</xdr:colOff>
      <xdr:row>4</xdr:row>
      <xdr:rowOff>47625</xdr:rowOff>
    </xdr:to>
    <xdr:sp macro="" textlink="">
      <xdr:nvSpPr>
        <xdr:cNvPr id="13" name="TextBox 12">
          <a:extLst>
            <a:ext uri="{FF2B5EF4-FFF2-40B4-BE49-F238E27FC236}">
              <a16:creationId xmlns:a16="http://schemas.microsoft.com/office/drawing/2014/main" id="{0AD7F745-37BF-A7B4-BACA-3AF4A81C6F14}"/>
            </a:ext>
          </a:extLst>
        </xdr:cNvPr>
        <xdr:cNvSpPr txBox="1"/>
      </xdr:nvSpPr>
      <xdr:spPr>
        <a:xfrm>
          <a:off x="8667750" y="371475"/>
          <a:ext cx="2143125" cy="4381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Sales</a:t>
          </a:r>
        </a:p>
      </xdr:txBody>
    </xdr:sp>
    <xdr:clientData/>
  </xdr:twoCellAnchor>
  <xdr:twoCellAnchor>
    <xdr:from>
      <xdr:col>14</xdr:col>
      <xdr:colOff>190500</xdr:colOff>
      <xdr:row>5</xdr:row>
      <xdr:rowOff>114300</xdr:rowOff>
    </xdr:from>
    <xdr:to>
      <xdr:col>17</xdr:col>
      <xdr:colOff>428625</xdr:colOff>
      <xdr:row>7</xdr:row>
      <xdr:rowOff>171450</xdr:rowOff>
    </xdr:to>
    <xdr:sp macro="" textlink="'New Pivot'!C13">
      <xdr:nvSpPr>
        <xdr:cNvPr id="14" name="TextBox 13">
          <a:extLst>
            <a:ext uri="{FF2B5EF4-FFF2-40B4-BE49-F238E27FC236}">
              <a16:creationId xmlns:a16="http://schemas.microsoft.com/office/drawing/2014/main" id="{C08C8EFA-A56A-896A-74E3-1FD16595EFAD}"/>
            </a:ext>
          </a:extLst>
        </xdr:cNvPr>
        <xdr:cNvSpPr txBox="1"/>
      </xdr:nvSpPr>
      <xdr:spPr>
        <a:xfrm>
          <a:off x="8724900" y="1066800"/>
          <a:ext cx="2066925" cy="43815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47347D-1607-4EC4-94F1-2A744A61E99E}" type="TxLink">
            <a:rPr lang="en-US" sz="1100" b="0" i="0" u="none" strike="noStrike">
              <a:solidFill>
                <a:srgbClr val="000000"/>
              </a:solidFill>
              <a:latin typeface="Calibri"/>
              <a:ea typeface="Calibri"/>
              <a:cs typeface="Calibri"/>
            </a:rPr>
            <a:pPr algn="ctr"/>
            <a:t>7551772</a:t>
          </a:fld>
          <a:endParaRPr lang="en-IN" sz="1100"/>
        </a:p>
      </xdr:txBody>
    </xdr:sp>
    <xdr:clientData/>
  </xdr:twoCellAnchor>
  <xdr:twoCellAnchor>
    <xdr:from>
      <xdr:col>14</xdr:col>
      <xdr:colOff>57150</xdr:colOff>
      <xdr:row>10</xdr:row>
      <xdr:rowOff>28574</xdr:rowOff>
    </xdr:from>
    <xdr:to>
      <xdr:col>17</xdr:col>
      <xdr:colOff>542925</xdr:colOff>
      <xdr:row>17</xdr:row>
      <xdr:rowOff>152399</xdr:rowOff>
    </xdr:to>
    <xdr:sp macro="" textlink="">
      <xdr:nvSpPr>
        <xdr:cNvPr id="15" name="Rectangle 14">
          <a:extLst>
            <a:ext uri="{FF2B5EF4-FFF2-40B4-BE49-F238E27FC236}">
              <a16:creationId xmlns:a16="http://schemas.microsoft.com/office/drawing/2014/main" id="{19BF913D-6857-4747-9FF2-4C677A342C0F}"/>
            </a:ext>
          </a:extLst>
        </xdr:cNvPr>
        <xdr:cNvSpPr/>
      </xdr:nvSpPr>
      <xdr:spPr>
        <a:xfrm>
          <a:off x="8591550" y="1933574"/>
          <a:ext cx="2314575" cy="1457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123825</xdr:colOff>
      <xdr:row>10</xdr:row>
      <xdr:rowOff>142875</xdr:rowOff>
    </xdr:from>
    <xdr:to>
      <xdr:col>17</xdr:col>
      <xdr:colOff>438150</xdr:colOff>
      <xdr:row>13</xdr:row>
      <xdr:rowOff>9525</xdr:rowOff>
    </xdr:to>
    <xdr:sp macro="" textlink="">
      <xdr:nvSpPr>
        <xdr:cNvPr id="17" name="TextBox 16">
          <a:extLst>
            <a:ext uri="{FF2B5EF4-FFF2-40B4-BE49-F238E27FC236}">
              <a16:creationId xmlns:a16="http://schemas.microsoft.com/office/drawing/2014/main" id="{E0C54D5F-5325-475A-83A7-17985EA0D6FB}"/>
            </a:ext>
          </a:extLst>
        </xdr:cNvPr>
        <xdr:cNvSpPr txBox="1"/>
      </xdr:nvSpPr>
      <xdr:spPr>
        <a:xfrm>
          <a:off x="8658225" y="2047875"/>
          <a:ext cx="2143125" cy="4381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Profit</a:t>
          </a:r>
        </a:p>
      </xdr:txBody>
    </xdr:sp>
    <xdr:clientData/>
  </xdr:twoCellAnchor>
  <xdr:twoCellAnchor>
    <xdr:from>
      <xdr:col>14</xdr:col>
      <xdr:colOff>142875</xdr:colOff>
      <xdr:row>14</xdr:row>
      <xdr:rowOff>47625</xdr:rowOff>
    </xdr:from>
    <xdr:to>
      <xdr:col>17</xdr:col>
      <xdr:colOff>381000</xdr:colOff>
      <xdr:row>16</xdr:row>
      <xdr:rowOff>104775</xdr:rowOff>
    </xdr:to>
    <xdr:sp macro="" textlink="'New Pivot'!C14">
      <xdr:nvSpPr>
        <xdr:cNvPr id="18" name="TextBox 17">
          <a:extLst>
            <a:ext uri="{FF2B5EF4-FFF2-40B4-BE49-F238E27FC236}">
              <a16:creationId xmlns:a16="http://schemas.microsoft.com/office/drawing/2014/main" id="{5EE7E0A1-654E-4973-9863-52D4EB6FA3F7}"/>
            </a:ext>
          </a:extLst>
        </xdr:cNvPr>
        <xdr:cNvSpPr txBox="1"/>
      </xdr:nvSpPr>
      <xdr:spPr>
        <a:xfrm>
          <a:off x="8677275" y="2714625"/>
          <a:ext cx="2066925" cy="43815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DA6C86-4A0C-44E7-AC78-7A600378D0D2}" type="TxLink">
            <a:rPr lang="en-US" sz="2000" b="0" i="0" u="none" strike="noStrike">
              <a:solidFill>
                <a:srgbClr val="000000"/>
              </a:solidFill>
              <a:latin typeface="Calibri"/>
              <a:ea typeface="Calibri"/>
              <a:cs typeface="Calibri"/>
            </a:rPr>
            <a:t>1182919.966</a:t>
          </a:fld>
          <a:endParaRPr lang="en-IN" sz="1800" b="0" i="0" u="none" strike="noStrike">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082.556913194443" createdVersion="8" refreshedVersion="8" minRefreshableVersion="3" recordCount="200" xr:uid="{CA15C2AD-864A-4D38-93EF-AE6EC73C41DF}">
  <cacheSource type="worksheet">
    <worksheetSource name="Table1"/>
  </cacheSource>
  <cacheFields count="11">
    <cacheField name="OrderID" numFmtId="0">
      <sharedItems containsSemiMixedTypes="0" containsString="0" containsNumber="1" containsInteger="1" minValue="1001" maxValue="1200"/>
    </cacheField>
    <cacheField name="ProductID" numFmtId="0">
      <sharedItems containsSemiMixedTypes="0" containsString="0" containsNumber="1" containsInteger="1" minValue="101" maxValue="120" count="20">
        <n v="107"/>
        <n v="120"/>
        <n v="115"/>
        <n v="111"/>
        <n v="108"/>
        <n v="119"/>
        <n v="104"/>
        <n v="103"/>
        <n v="102"/>
        <n v="112"/>
        <n v="106"/>
        <n v="101"/>
        <n v="117"/>
        <n v="110"/>
        <n v="116"/>
        <n v="105"/>
        <n v="109"/>
        <n v="118"/>
        <n v="114"/>
        <n v="113"/>
      </sharedItems>
    </cacheField>
    <cacheField name="Region" numFmtId="0">
      <sharedItems count="4">
        <s v="South"/>
        <s v="East"/>
        <s v="West"/>
        <s v="North"/>
      </sharedItems>
    </cacheField>
    <cacheField name="Customer" numFmtId="0">
      <sharedItems count="8">
        <s v="Anita"/>
        <s v="John"/>
        <s v="Neha"/>
        <s v="Ravi"/>
        <s v="Pooja"/>
        <s v="Vikas"/>
        <s v="Sana"/>
        <s v="Karan"/>
      </sharedItems>
    </cacheField>
    <cacheField name="Quantity" numFmtId="0">
      <sharedItems containsSemiMixedTypes="0" containsString="0" containsNumber="1" containsInteger="1" minValue="1" maxValue="9"/>
    </cacheField>
    <cacheField name="OrderDate" numFmtId="14">
      <sharedItems containsSemiMixedTypes="0" containsNonDate="0" containsDate="1" containsString="0" minDate="2023-01-03T00:00:00" maxDate="2024-12-31T00:00:00" count="172">
        <d v="2023-06-03T00:00:00"/>
        <d v="2023-09-07T00:00:00"/>
        <d v="2024-11-04T00:00:00"/>
        <d v="2024-03-13T00:00:00"/>
        <d v="2023-04-28T00:00:00"/>
        <d v="2023-11-02T00:00:00"/>
        <d v="2023-09-25T00:00:00"/>
        <d v="2023-02-23T00:00:00"/>
        <d v="2023-08-24T00:00:00"/>
        <d v="2024-01-24T00:00:00"/>
        <d v="2024-02-05T00:00:00"/>
        <d v="2024-09-15T00:00:00"/>
        <d v="2023-10-30T00:00:00"/>
        <d v="2023-07-26T00:00:00"/>
        <d v="2023-08-17T00:00:00"/>
        <d v="2024-07-31T00:00:00"/>
        <d v="2023-03-16T00:00:00"/>
        <d v="2024-03-10T00:00:00"/>
        <d v="2023-04-13T00:00:00"/>
        <d v="2024-02-26T00:00:00"/>
        <d v="2024-12-04T00:00:00"/>
        <d v="2023-04-08T00:00:00"/>
        <d v="2023-12-01T00:00:00"/>
        <d v="2024-03-22T00:00:00"/>
        <d v="2023-11-04T00:00:00"/>
        <d v="2023-09-06T00:00:00"/>
        <d v="2023-06-15T00:00:00"/>
        <d v="2024-04-25T00:00:00"/>
        <d v="2024-06-25T00:00:00"/>
        <d v="2023-04-16T00:00:00"/>
        <d v="2024-07-16T00:00:00"/>
        <d v="2023-03-22T00:00:00"/>
        <d v="2023-05-13T00:00:00"/>
        <d v="2023-05-18T00:00:00"/>
        <d v="2023-07-03T00:00:00"/>
        <d v="2023-11-26T00:00:00"/>
        <d v="2024-05-22T00:00:00"/>
        <d v="2023-03-10T00:00:00"/>
        <d v="2024-06-29T00:00:00"/>
        <d v="2023-02-22T00:00:00"/>
        <d v="2024-03-25T00:00:00"/>
        <d v="2023-07-24T00:00:00"/>
        <d v="2023-05-06T00:00:00"/>
        <d v="2023-02-12T00:00:00"/>
        <d v="2023-04-21T00:00:00"/>
        <d v="2024-10-24T00:00:00"/>
        <d v="2023-07-02T00:00:00"/>
        <d v="2023-04-05T00:00:00"/>
        <d v="2024-01-09T00:00:00"/>
        <d v="2024-06-03T00:00:00"/>
        <d v="2023-12-26T00:00:00"/>
        <d v="2024-11-26T00:00:00"/>
        <d v="2023-10-08T00:00:00"/>
        <d v="2023-07-14T00:00:00"/>
        <d v="2024-10-28T00:00:00"/>
        <d v="2023-04-03T00:00:00"/>
        <d v="2024-11-02T00:00:00"/>
        <d v="2023-03-02T00:00:00"/>
        <d v="2024-09-25T00:00:00"/>
        <d v="2023-02-20T00:00:00"/>
        <d v="2024-02-07T00:00:00"/>
        <d v="2023-01-05T00:00:00"/>
        <d v="2024-04-10T00:00:00"/>
        <d v="2024-08-26T00:00:00"/>
        <d v="2024-11-12T00:00:00"/>
        <d v="2024-06-17T00:00:00"/>
        <d v="2024-02-09T00:00:00"/>
        <d v="2024-05-27T00:00:00"/>
        <d v="2024-10-06T00:00:00"/>
        <d v="2023-08-21T00:00:00"/>
        <d v="2024-06-07T00:00:00"/>
        <d v="2023-12-12T00:00:00"/>
        <d v="2023-02-15T00:00:00"/>
        <d v="2023-03-19T00:00:00"/>
        <d v="2024-12-30T00:00:00"/>
        <d v="2023-03-14T00:00:00"/>
        <d v="2023-02-16T00:00:00"/>
        <d v="2023-05-01T00:00:00"/>
        <d v="2023-08-02T00:00:00"/>
        <d v="2023-08-27T00:00:00"/>
        <d v="2023-02-25T00:00:00"/>
        <d v="2023-12-16T00:00:00"/>
        <d v="2023-04-17T00:00:00"/>
        <d v="2023-02-17T00:00:00"/>
        <d v="2024-07-26T00:00:00"/>
        <d v="2023-12-03T00:00:00"/>
        <d v="2023-01-26T00:00:00"/>
        <d v="2023-09-14T00:00:00"/>
        <d v="2023-01-08T00:00:00"/>
        <d v="2024-09-16T00:00:00"/>
        <d v="2023-09-10T00:00:00"/>
        <d v="2024-11-22T00:00:00"/>
        <d v="2024-12-19T00:00:00"/>
        <d v="2024-09-30T00:00:00"/>
        <d v="2024-12-26T00:00:00"/>
        <d v="2024-06-09T00:00:00"/>
        <d v="2024-04-18T00:00:00"/>
        <d v="2023-01-28T00:00:00"/>
        <d v="2023-08-04T00:00:00"/>
        <d v="2024-01-21T00:00:00"/>
        <d v="2023-12-31T00:00:00"/>
        <d v="2024-10-27T00:00:00"/>
        <d v="2024-11-29T00:00:00"/>
        <d v="2023-11-08T00:00:00"/>
        <d v="2023-01-07T00:00:00"/>
        <d v="2023-01-03T00:00:00"/>
        <d v="2024-09-14T00:00:00"/>
        <d v="2023-12-29T00:00:00"/>
        <d v="2023-10-01T00:00:00"/>
        <d v="2024-05-20T00:00:00"/>
        <d v="2023-01-15T00:00:00"/>
        <d v="2023-07-11T00:00:00"/>
        <d v="2024-09-22T00:00:00"/>
        <d v="2024-04-29T00:00:00"/>
        <d v="2024-12-14T00:00:00"/>
        <d v="2023-02-08T00:00:00"/>
        <d v="2023-09-30T00:00:00"/>
        <d v="2023-08-19T00:00:00"/>
        <d v="2023-03-27T00:00:00"/>
        <d v="2024-06-20T00:00:00"/>
        <d v="2023-05-25T00:00:00"/>
        <d v="2024-06-08T00:00:00"/>
        <d v="2023-07-31T00:00:00"/>
        <d v="2023-01-25T00:00:00"/>
        <d v="2024-08-02T00:00:00"/>
        <d v="2024-01-29T00:00:00"/>
        <d v="2023-03-08T00:00:00"/>
        <d v="2023-04-19T00:00:00"/>
        <d v="2023-05-26T00:00:00"/>
        <d v="2023-08-16T00:00:00"/>
        <d v="2024-04-14T00:00:00"/>
        <d v="2023-02-03T00:00:00"/>
        <d v="2024-01-04T00:00:00"/>
        <d v="2024-08-17T00:00:00"/>
        <d v="2024-07-07T00:00:00"/>
        <d v="2024-02-29T00:00:00"/>
        <d v="2024-09-04T00:00:00"/>
        <d v="2024-06-01T00:00:00"/>
        <d v="2023-10-09T00:00:00"/>
        <d v="2023-11-16T00:00:00"/>
        <d v="2024-03-18T00:00:00"/>
        <d v="2023-11-11T00:00:00"/>
        <d v="2024-01-12T00:00:00"/>
        <d v="2023-10-16T00:00:00"/>
        <d v="2024-03-12T00:00:00"/>
        <d v="2024-10-23T00:00:00"/>
        <d v="2023-10-04T00:00:00"/>
        <d v="2024-12-10T00:00:00"/>
        <d v="2024-08-04T00:00:00"/>
        <d v="2024-05-17T00:00:00"/>
        <d v="2024-05-30T00:00:00"/>
        <d v="2024-03-21T00:00:00"/>
        <d v="2024-08-29T00:00:00"/>
        <d v="2024-10-25T00:00:00"/>
        <d v="2023-05-17T00:00:00"/>
        <d v="2023-08-31T00:00:00"/>
        <d v="2024-06-26T00:00:00"/>
        <d v="2023-02-09T00:00:00"/>
        <d v="2024-07-01T00:00:00"/>
        <d v="2023-08-11T00:00:00"/>
        <d v="2023-01-06T00:00:00"/>
        <d v="2023-11-18T00:00:00"/>
        <d v="2024-04-12T00:00:00"/>
        <d v="2023-01-04T00:00:00"/>
        <d v="2024-10-07T00:00:00"/>
        <d v="2024-08-28T00:00:00"/>
        <d v="2024-05-18T00:00:00"/>
        <d v="2024-07-27T00:00:00"/>
        <d v="2024-03-16T00:00:00"/>
        <d v="2023-07-13T00:00:00"/>
        <d v="2024-12-15T00:00:00"/>
        <d v="2024-01-27T00:00:00"/>
      </sharedItems>
      <fieldGroup par="10" base="5">
        <rangePr groupBy="months" startDate="2023-01-03T00:00:00" endDate="2024-12-31T00:00:00"/>
        <groupItems count="14">
          <s v="&lt;03-01-2023"/>
          <s v="Jan"/>
          <s v="Feb"/>
          <s v="Mar"/>
          <s v="Apr"/>
          <s v="May"/>
          <s v="Jun"/>
          <s v="Jul"/>
          <s v="Aug"/>
          <s v="Sep"/>
          <s v="Oct"/>
          <s v="Nov"/>
          <s v="Dec"/>
          <s v="&gt;31-12-2024"/>
        </groupItems>
      </fieldGroup>
    </cacheField>
    <cacheField name="UnitPrice" numFmtId="0">
      <sharedItems containsSemiMixedTypes="0" containsString="0" containsNumber="1" containsInteger="1" minValue="3922" maxValue="45111"/>
    </cacheField>
    <cacheField name="Sales" numFmtId="0">
      <sharedItems containsSemiMixedTypes="0" containsString="0" containsNumber="1" containsInteger="1" minValue="3922" maxValue="381870"/>
    </cacheField>
    <cacheField name="Profit" numFmtId="0">
      <sharedItems containsSemiMixedTypes="0" containsString="0" containsNumber="1" minValue="340.79267634095078" maxValue="82056.800020844501"/>
    </cacheField>
    <cacheField name="Quarters" numFmtId="0" databaseField="0">
      <fieldGroup base="5">
        <rangePr groupBy="quarters" startDate="2023-01-03T00:00:00" endDate="2024-12-31T00:00:00"/>
        <groupItems count="6">
          <s v="&lt;03-01-2023"/>
          <s v="Qtr1"/>
          <s v="Qtr2"/>
          <s v="Qtr3"/>
          <s v="Qtr4"/>
          <s v="&gt;31-12-2024"/>
        </groupItems>
      </fieldGroup>
    </cacheField>
    <cacheField name="Years" numFmtId="0" databaseField="0">
      <fieldGroup base="5">
        <rangePr groupBy="years" startDate="2023-01-03T00:00:00" endDate="2024-12-31T00:00:00"/>
        <groupItems count="4">
          <s v="&lt;03-01-2023"/>
          <s v="2023"/>
          <s v="2024"/>
          <s v="&gt;31-12-2024"/>
        </groupItems>
      </fieldGroup>
    </cacheField>
  </cacheFields>
  <extLst>
    <ext xmlns:x14="http://schemas.microsoft.com/office/spreadsheetml/2009/9/main" uri="{725AE2AE-9491-48be-B2B4-4EB974FC3084}">
      <x14:pivotCacheDefinition pivotCacheId="369276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x v="0"/>
    <x v="0"/>
    <x v="0"/>
    <n v="3"/>
    <x v="0"/>
    <n v="39276"/>
    <n v="117828"/>
    <n v="25653.10114536258"/>
  </r>
  <r>
    <n v="1002"/>
    <x v="1"/>
    <x v="1"/>
    <x v="1"/>
    <n v="2"/>
    <x v="1"/>
    <n v="39145"/>
    <n v="78290"/>
    <n v="7125.604436820232"/>
  </r>
  <r>
    <n v="1003"/>
    <x v="2"/>
    <x v="1"/>
    <x v="2"/>
    <n v="3"/>
    <x v="2"/>
    <n v="45111"/>
    <n v="135333"/>
    <n v="32966.958200443507"/>
  </r>
  <r>
    <n v="1004"/>
    <x v="3"/>
    <x v="1"/>
    <x v="3"/>
    <n v="7"/>
    <x v="3"/>
    <n v="14664"/>
    <n v="102648"/>
    <n v="19727.970009526911"/>
  </r>
  <r>
    <n v="1005"/>
    <x v="4"/>
    <x v="2"/>
    <x v="4"/>
    <n v="1"/>
    <x v="4"/>
    <n v="30446"/>
    <n v="30446"/>
    <n v="2737.137581948497"/>
  </r>
  <r>
    <n v="1006"/>
    <x v="0"/>
    <x v="2"/>
    <x v="0"/>
    <n v="8"/>
    <x v="5"/>
    <n v="39276"/>
    <n v="314208"/>
    <n v="61977.351019106907"/>
  </r>
  <r>
    <n v="1007"/>
    <x v="5"/>
    <x v="1"/>
    <x v="5"/>
    <n v="2"/>
    <x v="6"/>
    <n v="18864"/>
    <n v="37728"/>
    <n v="5884.3608789154341"/>
  </r>
  <r>
    <n v="1008"/>
    <x v="3"/>
    <x v="2"/>
    <x v="1"/>
    <n v="3"/>
    <x v="7"/>
    <n v="14664"/>
    <n v="43992"/>
    <n v="8422.0932735180813"/>
  </r>
  <r>
    <n v="1009"/>
    <x v="3"/>
    <x v="3"/>
    <x v="4"/>
    <n v="9"/>
    <x v="8"/>
    <n v="14664"/>
    <n v="131976"/>
    <n v="26864.493496484021"/>
  </r>
  <r>
    <n v="1010"/>
    <x v="6"/>
    <x v="3"/>
    <x v="3"/>
    <n v="7"/>
    <x v="9"/>
    <n v="42430"/>
    <n v="297010"/>
    <n v="20035.711247985899"/>
  </r>
  <r>
    <n v="1011"/>
    <x v="4"/>
    <x v="2"/>
    <x v="4"/>
    <n v="4"/>
    <x v="10"/>
    <n v="30446"/>
    <n v="121784"/>
    <n v="18416.272844253341"/>
  </r>
  <r>
    <n v="1012"/>
    <x v="7"/>
    <x v="2"/>
    <x v="1"/>
    <n v="5"/>
    <x v="11"/>
    <n v="21175"/>
    <n v="105875"/>
    <n v="25029.153697290589"/>
  </r>
  <r>
    <n v="1013"/>
    <x v="8"/>
    <x v="1"/>
    <x v="2"/>
    <n v="2"/>
    <x v="12"/>
    <n v="20365"/>
    <n v="40730"/>
    <n v="4648.4512973314031"/>
  </r>
  <r>
    <n v="1014"/>
    <x v="9"/>
    <x v="0"/>
    <x v="2"/>
    <n v="8"/>
    <x v="13"/>
    <n v="34365"/>
    <n v="274920"/>
    <n v="46400.068236123509"/>
  </r>
  <r>
    <n v="1015"/>
    <x v="10"/>
    <x v="2"/>
    <x v="6"/>
    <n v="4"/>
    <x v="14"/>
    <n v="20269"/>
    <n v="81076"/>
    <n v="10040.94610377927"/>
  </r>
  <r>
    <n v="1016"/>
    <x v="8"/>
    <x v="3"/>
    <x v="2"/>
    <n v="9"/>
    <x v="15"/>
    <n v="20365"/>
    <n v="183285"/>
    <n v="25816.35105763554"/>
  </r>
  <r>
    <n v="1017"/>
    <x v="11"/>
    <x v="1"/>
    <x v="6"/>
    <n v="5"/>
    <x v="16"/>
    <n v="36970"/>
    <n v="184850"/>
    <n v="29524.357270173521"/>
  </r>
  <r>
    <n v="1018"/>
    <x v="9"/>
    <x v="2"/>
    <x v="4"/>
    <n v="9"/>
    <x v="17"/>
    <n v="34365"/>
    <n v="309285"/>
    <n v="49418.916909992477"/>
  </r>
  <r>
    <n v="1019"/>
    <x v="9"/>
    <x v="3"/>
    <x v="7"/>
    <n v="4"/>
    <x v="18"/>
    <n v="34365"/>
    <n v="137460"/>
    <n v="12418.973870382841"/>
  </r>
  <r>
    <n v="1020"/>
    <x v="12"/>
    <x v="3"/>
    <x v="5"/>
    <n v="5"/>
    <x v="19"/>
    <n v="3922"/>
    <n v="19610"/>
    <n v="3665.3896107847058"/>
  </r>
  <r>
    <n v="1021"/>
    <x v="13"/>
    <x v="0"/>
    <x v="5"/>
    <n v="9"/>
    <x v="20"/>
    <n v="35299"/>
    <n v="317691"/>
    <n v="21467.53162575818"/>
  </r>
  <r>
    <n v="1022"/>
    <x v="14"/>
    <x v="1"/>
    <x v="4"/>
    <n v="8"/>
    <x v="5"/>
    <n v="26393"/>
    <n v="211144"/>
    <n v="16419.603592728388"/>
  </r>
  <r>
    <n v="1023"/>
    <x v="2"/>
    <x v="1"/>
    <x v="0"/>
    <n v="3"/>
    <x v="21"/>
    <n v="45111"/>
    <n v="135333"/>
    <n v="6840.0248300878966"/>
  </r>
  <r>
    <n v="1024"/>
    <x v="2"/>
    <x v="0"/>
    <x v="0"/>
    <n v="1"/>
    <x v="22"/>
    <n v="45111"/>
    <n v="45111"/>
    <n v="3308.4052298990782"/>
  </r>
  <r>
    <n v="1025"/>
    <x v="5"/>
    <x v="0"/>
    <x v="2"/>
    <n v="3"/>
    <x v="17"/>
    <n v="18864"/>
    <n v="56592"/>
    <n v="8185.0843299857361"/>
  </r>
  <r>
    <n v="1026"/>
    <x v="9"/>
    <x v="1"/>
    <x v="5"/>
    <n v="4"/>
    <x v="23"/>
    <n v="34365"/>
    <n v="137460"/>
    <n v="23535.952913987119"/>
  </r>
  <r>
    <n v="1027"/>
    <x v="1"/>
    <x v="1"/>
    <x v="5"/>
    <n v="2"/>
    <x v="24"/>
    <n v="39145"/>
    <n v="78290"/>
    <n v="16351.484207574869"/>
  </r>
  <r>
    <n v="1028"/>
    <x v="7"/>
    <x v="2"/>
    <x v="6"/>
    <n v="1"/>
    <x v="25"/>
    <n v="21175"/>
    <n v="21175"/>
    <n v="1510.621324230402"/>
  </r>
  <r>
    <n v="1029"/>
    <x v="15"/>
    <x v="2"/>
    <x v="7"/>
    <n v="7"/>
    <x v="26"/>
    <n v="18639"/>
    <n v="130473"/>
    <n v="28723.04277814538"/>
  </r>
  <r>
    <n v="1030"/>
    <x v="5"/>
    <x v="0"/>
    <x v="1"/>
    <n v="8"/>
    <x v="27"/>
    <n v="18864"/>
    <n v="150912"/>
    <n v="30060.90151992163"/>
  </r>
  <r>
    <n v="1031"/>
    <x v="0"/>
    <x v="2"/>
    <x v="0"/>
    <n v="7"/>
    <x v="22"/>
    <n v="39276"/>
    <n v="274932"/>
    <n v="36209.550262691497"/>
  </r>
  <r>
    <n v="1032"/>
    <x v="16"/>
    <x v="3"/>
    <x v="5"/>
    <n v="5"/>
    <x v="28"/>
    <n v="23978"/>
    <n v="119890"/>
    <n v="28364.488972922722"/>
  </r>
  <r>
    <n v="1033"/>
    <x v="0"/>
    <x v="2"/>
    <x v="6"/>
    <n v="1"/>
    <x v="29"/>
    <n v="39276"/>
    <n v="39276"/>
    <n v="9747.749223468094"/>
  </r>
  <r>
    <n v="1034"/>
    <x v="17"/>
    <x v="2"/>
    <x v="3"/>
    <n v="7"/>
    <x v="30"/>
    <n v="23357"/>
    <n v="163499"/>
    <n v="14878.468188378851"/>
  </r>
  <r>
    <n v="1035"/>
    <x v="6"/>
    <x v="3"/>
    <x v="6"/>
    <n v="7"/>
    <x v="31"/>
    <n v="42430"/>
    <n v="297010"/>
    <n v="37377.436404019667"/>
  </r>
  <r>
    <n v="1036"/>
    <x v="18"/>
    <x v="0"/>
    <x v="0"/>
    <n v="9"/>
    <x v="32"/>
    <n v="4485"/>
    <n v="40365"/>
    <n v="9497.47619663974"/>
  </r>
  <r>
    <n v="1037"/>
    <x v="17"/>
    <x v="3"/>
    <x v="0"/>
    <n v="3"/>
    <x v="33"/>
    <n v="23357"/>
    <n v="70071"/>
    <n v="13616.148381538551"/>
  </r>
  <r>
    <n v="1038"/>
    <x v="16"/>
    <x v="2"/>
    <x v="6"/>
    <n v="9"/>
    <x v="34"/>
    <n v="23978"/>
    <n v="215802"/>
    <n v="12865.884071347609"/>
  </r>
  <r>
    <n v="1039"/>
    <x v="8"/>
    <x v="0"/>
    <x v="1"/>
    <n v="1"/>
    <x v="10"/>
    <n v="20365"/>
    <n v="20365"/>
    <n v="4201.3584841735128"/>
  </r>
  <r>
    <n v="1040"/>
    <x v="1"/>
    <x v="2"/>
    <x v="4"/>
    <n v="1"/>
    <x v="35"/>
    <n v="39145"/>
    <n v="39145"/>
    <n v="8439.1992057125844"/>
  </r>
  <r>
    <n v="1041"/>
    <x v="2"/>
    <x v="3"/>
    <x v="0"/>
    <n v="4"/>
    <x v="36"/>
    <n v="45111"/>
    <n v="180444"/>
    <n v="36106.91386247045"/>
  </r>
  <r>
    <n v="1042"/>
    <x v="0"/>
    <x v="3"/>
    <x v="6"/>
    <n v="9"/>
    <x v="37"/>
    <n v="39276"/>
    <n v="353484"/>
    <n v="74198.916637190807"/>
  </r>
  <r>
    <n v="1043"/>
    <x v="9"/>
    <x v="2"/>
    <x v="5"/>
    <n v="6"/>
    <x v="38"/>
    <n v="34365"/>
    <n v="206190"/>
    <n v="44336.321321457581"/>
  </r>
  <r>
    <n v="1044"/>
    <x v="4"/>
    <x v="1"/>
    <x v="6"/>
    <n v="3"/>
    <x v="39"/>
    <n v="30446"/>
    <n v="91338"/>
    <n v="7972.0717366511008"/>
  </r>
  <r>
    <n v="1045"/>
    <x v="2"/>
    <x v="1"/>
    <x v="7"/>
    <n v="1"/>
    <x v="40"/>
    <n v="45111"/>
    <n v="45111"/>
    <n v="4382.0080713476418"/>
  </r>
  <r>
    <n v="1046"/>
    <x v="7"/>
    <x v="3"/>
    <x v="4"/>
    <n v="4"/>
    <x v="41"/>
    <n v="21175"/>
    <n v="84700"/>
    <n v="14970.8700694198"/>
  </r>
  <r>
    <n v="1047"/>
    <x v="18"/>
    <x v="3"/>
    <x v="3"/>
    <n v="9"/>
    <x v="42"/>
    <n v="4485"/>
    <n v="40365"/>
    <n v="9347.4532712238906"/>
  </r>
  <r>
    <n v="1048"/>
    <x v="12"/>
    <x v="1"/>
    <x v="1"/>
    <n v="3"/>
    <x v="43"/>
    <n v="3922"/>
    <n v="11766"/>
    <n v="1332.3737974601111"/>
  </r>
  <r>
    <n v="1049"/>
    <x v="6"/>
    <x v="1"/>
    <x v="2"/>
    <n v="9"/>
    <x v="44"/>
    <n v="42430"/>
    <n v="381870"/>
    <n v="64024.834057171647"/>
  </r>
  <r>
    <n v="1050"/>
    <x v="17"/>
    <x v="2"/>
    <x v="3"/>
    <n v="7"/>
    <x v="45"/>
    <n v="23357"/>
    <n v="163499"/>
    <n v="30508.326877327541"/>
  </r>
  <r>
    <n v="1051"/>
    <x v="4"/>
    <x v="2"/>
    <x v="4"/>
    <n v="4"/>
    <x v="46"/>
    <n v="30446"/>
    <n v="121784"/>
    <n v="17097.221692120442"/>
  </r>
  <r>
    <n v="1052"/>
    <x v="6"/>
    <x v="1"/>
    <x v="4"/>
    <n v="3"/>
    <x v="47"/>
    <n v="42430"/>
    <n v="127290"/>
    <n v="24535.973735706892"/>
  </r>
  <r>
    <n v="1053"/>
    <x v="8"/>
    <x v="2"/>
    <x v="4"/>
    <n v="5"/>
    <x v="48"/>
    <n v="20365"/>
    <n v="101825"/>
    <n v="23412.97752337511"/>
  </r>
  <r>
    <n v="1054"/>
    <x v="10"/>
    <x v="2"/>
    <x v="3"/>
    <n v="5"/>
    <x v="49"/>
    <n v="20269"/>
    <n v="101345"/>
    <n v="17717.16419902167"/>
  </r>
  <r>
    <n v="1055"/>
    <x v="13"/>
    <x v="0"/>
    <x v="5"/>
    <n v="3"/>
    <x v="50"/>
    <n v="35299"/>
    <n v="105897"/>
    <n v="16727.089022714779"/>
  </r>
  <r>
    <n v="1056"/>
    <x v="6"/>
    <x v="2"/>
    <x v="4"/>
    <n v="9"/>
    <x v="51"/>
    <n v="42430"/>
    <n v="381870"/>
    <n v="52602.185838109013"/>
  </r>
  <r>
    <n v="1057"/>
    <x v="17"/>
    <x v="3"/>
    <x v="6"/>
    <n v="4"/>
    <x v="52"/>
    <n v="23357"/>
    <n v="93428"/>
    <n v="15462.0774636435"/>
  </r>
  <r>
    <n v="1058"/>
    <x v="9"/>
    <x v="2"/>
    <x v="3"/>
    <n v="5"/>
    <x v="53"/>
    <n v="34365"/>
    <n v="171825"/>
    <n v="20803.280656739171"/>
  </r>
  <r>
    <n v="1059"/>
    <x v="8"/>
    <x v="2"/>
    <x v="2"/>
    <n v="4"/>
    <x v="53"/>
    <n v="20365"/>
    <n v="81460"/>
    <n v="10451.02653940287"/>
  </r>
  <r>
    <n v="1060"/>
    <x v="13"/>
    <x v="1"/>
    <x v="4"/>
    <n v="5"/>
    <x v="54"/>
    <n v="35299"/>
    <n v="176495"/>
    <n v="27598.787175512851"/>
  </r>
  <r>
    <n v="1061"/>
    <x v="6"/>
    <x v="3"/>
    <x v="6"/>
    <n v="7"/>
    <x v="55"/>
    <n v="42430"/>
    <n v="297010"/>
    <n v="18807.80851423931"/>
  </r>
  <r>
    <n v="1062"/>
    <x v="18"/>
    <x v="2"/>
    <x v="5"/>
    <n v="9"/>
    <x v="56"/>
    <n v="4485"/>
    <n v="40365"/>
    <n v="3867.171980935881"/>
  </r>
  <r>
    <n v="1063"/>
    <x v="14"/>
    <x v="2"/>
    <x v="7"/>
    <n v="7"/>
    <x v="57"/>
    <n v="26393"/>
    <n v="184751"/>
    <n v="29295.94059702758"/>
  </r>
  <r>
    <n v="1064"/>
    <x v="2"/>
    <x v="0"/>
    <x v="5"/>
    <n v="5"/>
    <x v="58"/>
    <n v="45111"/>
    <n v="225555"/>
    <n v="30744.416065028061"/>
  </r>
  <r>
    <n v="1065"/>
    <x v="4"/>
    <x v="2"/>
    <x v="2"/>
    <n v="7"/>
    <x v="59"/>
    <n v="30446"/>
    <n v="213122"/>
    <n v="24842.173185048101"/>
  </r>
  <r>
    <n v="1066"/>
    <x v="18"/>
    <x v="2"/>
    <x v="4"/>
    <n v="5"/>
    <x v="60"/>
    <n v="4485"/>
    <n v="22425"/>
    <n v="4397.7628785897168"/>
  </r>
  <r>
    <n v="1067"/>
    <x v="4"/>
    <x v="0"/>
    <x v="2"/>
    <n v="3"/>
    <x v="61"/>
    <n v="30446"/>
    <n v="91338"/>
    <n v="17239.455765001221"/>
  </r>
  <r>
    <n v="1068"/>
    <x v="14"/>
    <x v="1"/>
    <x v="3"/>
    <n v="7"/>
    <x v="62"/>
    <n v="26393"/>
    <n v="184751"/>
    <n v="15398.284927907511"/>
  </r>
  <r>
    <n v="1069"/>
    <x v="19"/>
    <x v="2"/>
    <x v="0"/>
    <n v="2"/>
    <x v="63"/>
    <n v="4587"/>
    <n v="9174"/>
    <n v="2070.8087008871839"/>
  </r>
  <r>
    <n v="1070"/>
    <x v="17"/>
    <x v="0"/>
    <x v="4"/>
    <n v="9"/>
    <x v="64"/>
    <n v="23357"/>
    <n v="210213"/>
    <n v="31339.54735545137"/>
  </r>
  <r>
    <n v="1071"/>
    <x v="2"/>
    <x v="3"/>
    <x v="0"/>
    <n v="1"/>
    <x v="65"/>
    <n v="45111"/>
    <n v="45111"/>
    <n v="8945.1586324786949"/>
  </r>
  <r>
    <n v="1072"/>
    <x v="19"/>
    <x v="1"/>
    <x v="6"/>
    <n v="6"/>
    <x v="66"/>
    <n v="4587"/>
    <n v="27522"/>
    <n v="4530.9515346523704"/>
  </r>
  <r>
    <n v="1073"/>
    <x v="16"/>
    <x v="3"/>
    <x v="7"/>
    <n v="7"/>
    <x v="67"/>
    <n v="23978"/>
    <n v="167846"/>
    <n v="41884.042962470681"/>
  </r>
  <r>
    <n v="1074"/>
    <x v="2"/>
    <x v="3"/>
    <x v="1"/>
    <n v="8"/>
    <x v="68"/>
    <n v="45111"/>
    <n v="360888"/>
    <n v="72351.051436914131"/>
  </r>
  <r>
    <n v="1075"/>
    <x v="19"/>
    <x v="0"/>
    <x v="2"/>
    <n v="9"/>
    <x v="69"/>
    <n v="4587"/>
    <n v="41283"/>
    <n v="7901.404876302744"/>
  </r>
  <r>
    <n v="1076"/>
    <x v="11"/>
    <x v="2"/>
    <x v="5"/>
    <n v="2"/>
    <x v="70"/>
    <n v="36970"/>
    <n v="73940"/>
    <n v="15210.52183468251"/>
  </r>
  <r>
    <n v="1077"/>
    <x v="0"/>
    <x v="0"/>
    <x v="7"/>
    <n v="2"/>
    <x v="71"/>
    <n v="39276"/>
    <n v="78552"/>
    <n v="6176.1979041606774"/>
  </r>
  <r>
    <n v="1078"/>
    <x v="16"/>
    <x v="0"/>
    <x v="4"/>
    <n v="5"/>
    <x v="72"/>
    <n v="23978"/>
    <n v="119890"/>
    <n v="10899.07025501739"/>
  </r>
  <r>
    <n v="1079"/>
    <x v="11"/>
    <x v="0"/>
    <x v="0"/>
    <n v="5"/>
    <x v="38"/>
    <n v="36970"/>
    <n v="184850"/>
    <n v="35641.449119807017"/>
  </r>
  <r>
    <n v="1080"/>
    <x v="9"/>
    <x v="0"/>
    <x v="5"/>
    <n v="6"/>
    <x v="73"/>
    <n v="34365"/>
    <n v="206190"/>
    <n v="30680.308566302519"/>
  </r>
  <r>
    <n v="1081"/>
    <x v="4"/>
    <x v="1"/>
    <x v="0"/>
    <n v="3"/>
    <x v="74"/>
    <n v="30446"/>
    <n v="91338"/>
    <n v="18352.275657583868"/>
  </r>
  <r>
    <n v="1082"/>
    <x v="3"/>
    <x v="2"/>
    <x v="3"/>
    <n v="8"/>
    <x v="75"/>
    <n v="14664"/>
    <n v="117312"/>
    <n v="8280.2570797314293"/>
  </r>
  <r>
    <n v="1083"/>
    <x v="5"/>
    <x v="3"/>
    <x v="0"/>
    <n v="1"/>
    <x v="25"/>
    <n v="18864"/>
    <n v="18864"/>
    <n v="2967.2368428810792"/>
  </r>
  <r>
    <n v="1084"/>
    <x v="12"/>
    <x v="3"/>
    <x v="3"/>
    <n v="6"/>
    <x v="76"/>
    <n v="3922"/>
    <n v="23532"/>
    <n v="2959.485816137068"/>
  </r>
  <r>
    <n v="1085"/>
    <x v="4"/>
    <x v="2"/>
    <x v="6"/>
    <n v="4"/>
    <x v="77"/>
    <n v="30446"/>
    <n v="121784"/>
    <n v="17220.262940999979"/>
  </r>
  <r>
    <n v="1086"/>
    <x v="7"/>
    <x v="3"/>
    <x v="5"/>
    <n v="1"/>
    <x v="78"/>
    <n v="21175"/>
    <n v="21175"/>
    <n v="3616.5115882270902"/>
  </r>
  <r>
    <n v="1087"/>
    <x v="7"/>
    <x v="2"/>
    <x v="5"/>
    <n v="7"/>
    <x v="79"/>
    <n v="21175"/>
    <n v="148225"/>
    <n v="22301.588060526708"/>
  </r>
  <r>
    <n v="1088"/>
    <x v="11"/>
    <x v="3"/>
    <x v="1"/>
    <n v="9"/>
    <x v="80"/>
    <n v="36970"/>
    <n v="332730"/>
    <n v="52562.065957310828"/>
  </r>
  <r>
    <n v="1089"/>
    <x v="15"/>
    <x v="0"/>
    <x v="4"/>
    <n v="4"/>
    <x v="81"/>
    <n v="18639"/>
    <n v="74556"/>
    <n v="10979.97368553291"/>
  </r>
  <r>
    <n v="1090"/>
    <x v="13"/>
    <x v="3"/>
    <x v="3"/>
    <n v="4"/>
    <x v="82"/>
    <n v="35299"/>
    <n v="141196"/>
    <n v="18608.367036752661"/>
  </r>
  <r>
    <n v="1091"/>
    <x v="0"/>
    <x v="2"/>
    <x v="1"/>
    <n v="6"/>
    <x v="83"/>
    <n v="39276"/>
    <n v="235656"/>
    <n v="48162.524003972008"/>
  </r>
  <r>
    <n v="1092"/>
    <x v="16"/>
    <x v="2"/>
    <x v="0"/>
    <n v="3"/>
    <x v="84"/>
    <n v="23978"/>
    <n v="71934"/>
    <n v="3772.2631608252432"/>
  </r>
  <r>
    <n v="1093"/>
    <x v="0"/>
    <x v="2"/>
    <x v="0"/>
    <n v="6"/>
    <x v="85"/>
    <n v="39276"/>
    <n v="235656"/>
    <n v="39988.122639043802"/>
  </r>
  <r>
    <n v="1094"/>
    <x v="16"/>
    <x v="2"/>
    <x v="1"/>
    <n v="7"/>
    <x v="86"/>
    <n v="23978"/>
    <n v="167846"/>
    <n v="27375.962812954371"/>
  </r>
  <r>
    <n v="1095"/>
    <x v="4"/>
    <x v="2"/>
    <x v="5"/>
    <n v="3"/>
    <x v="87"/>
    <n v="30446"/>
    <n v="91338"/>
    <n v="17649.77286559168"/>
  </r>
  <r>
    <n v="1096"/>
    <x v="9"/>
    <x v="1"/>
    <x v="0"/>
    <n v="7"/>
    <x v="88"/>
    <n v="34365"/>
    <n v="240555"/>
    <n v="40847.651768801952"/>
  </r>
  <r>
    <n v="1097"/>
    <x v="8"/>
    <x v="1"/>
    <x v="2"/>
    <n v="3"/>
    <x v="89"/>
    <n v="20365"/>
    <n v="61095"/>
    <n v="13157.40487699913"/>
  </r>
  <r>
    <n v="1098"/>
    <x v="11"/>
    <x v="3"/>
    <x v="6"/>
    <n v="2"/>
    <x v="90"/>
    <n v="36970"/>
    <n v="73940"/>
    <n v="17879.79806201284"/>
  </r>
  <r>
    <n v="1099"/>
    <x v="14"/>
    <x v="2"/>
    <x v="6"/>
    <n v="4"/>
    <x v="91"/>
    <n v="26393"/>
    <n v="105572"/>
    <n v="12510.794175770639"/>
  </r>
  <r>
    <n v="1100"/>
    <x v="15"/>
    <x v="3"/>
    <x v="2"/>
    <n v="8"/>
    <x v="92"/>
    <n v="18639"/>
    <n v="149112"/>
    <n v="14235.75195631349"/>
  </r>
  <r>
    <n v="1101"/>
    <x v="7"/>
    <x v="2"/>
    <x v="1"/>
    <n v="9"/>
    <x v="12"/>
    <n v="21175"/>
    <n v="190575"/>
    <n v="25674.144411156711"/>
  </r>
  <r>
    <n v="1102"/>
    <x v="9"/>
    <x v="2"/>
    <x v="2"/>
    <n v="7"/>
    <x v="93"/>
    <n v="34365"/>
    <n v="240555"/>
    <n v="25880.331778263659"/>
  </r>
  <r>
    <n v="1103"/>
    <x v="4"/>
    <x v="1"/>
    <x v="3"/>
    <n v="1"/>
    <x v="80"/>
    <n v="30446"/>
    <n v="30446"/>
    <n v="5266.855142389144"/>
  </r>
  <r>
    <n v="1104"/>
    <x v="7"/>
    <x v="1"/>
    <x v="3"/>
    <n v="3"/>
    <x v="94"/>
    <n v="21175"/>
    <n v="63525"/>
    <n v="14761.334854349871"/>
  </r>
  <r>
    <n v="1105"/>
    <x v="11"/>
    <x v="0"/>
    <x v="1"/>
    <n v="9"/>
    <x v="95"/>
    <n v="36970"/>
    <n v="332730"/>
    <n v="25894.1262554442"/>
  </r>
  <r>
    <n v="1106"/>
    <x v="7"/>
    <x v="1"/>
    <x v="2"/>
    <n v="1"/>
    <x v="96"/>
    <n v="21175"/>
    <n v="21175"/>
    <n v="1485.615143772279"/>
  </r>
  <r>
    <n v="1107"/>
    <x v="15"/>
    <x v="0"/>
    <x v="3"/>
    <n v="9"/>
    <x v="97"/>
    <n v="18639"/>
    <n v="167751"/>
    <n v="16976.92229679674"/>
  </r>
  <r>
    <n v="1108"/>
    <x v="2"/>
    <x v="0"/>
    <x v="5"/>
    <n v="8"/>
    <x v="73"/>
    <n v="45111"/>
    <n v="360888"/>
    <n v="70452.23677257754"/>
  </r>
  <r>
    <n v="1109"/>
    <x v="18"/>
    <x v="0"/>
    <x v="2"/>
    <n v="1"/>
    <x v="98"/>
    <n v="4485"/>
    <n v="4485"/>
    <n v="756.137726017163"/>
  </r>
  <r>
    <n v="1110"/>
    <x v="7"/>
    <x v="0"/>
    <x v="5"/>
    <n v="6"/>
    <x v="99"/>
    <n v="21175"/>
    <n v="127050"/>
    <n v="8949.7237979623224"/>
  </r>
  <r>
    <n v="1111"/>
    <x v="11"/>
    <x v="0"/>
    <x v="3"/>
    <n v="5"/>
    <x v="100"/>
    <n v="36970"/>
    <n v="184850"/>
    <n v="43208.706807979797"/>
  </r>
  <r>
    <n v="1112"/>
    <x v="15"/>
    <x v="3"/>
    <x v="6"/>
    <n v="6"/>
    <x v="101"/>
    <n v="18639"/>
    <n v="111834"/>
    <n v="23263.365061627021"/>
  </r>
  <r>
    <n v="1113"/>
    <x v="18"/>
    <x v="1"/>
    <x v="3"/>
    <n v="5"/>
    <x v="95"/>
    <n v="4485"/>
    <n v="22425"/>
    <n v="1224.5063824725539"/>
  </r>
  <r>
    <n v="1114"/>
    <x v="0"/>
    <x v="0"/>
    <x v="5"/>
    <n v="6"/>
    <x v="102"/>
    <n v="39276"/>
    <n v="235656"/>
    <n v="42482.518294529233"/>
  </r>
  <r>
    <n v="1115"/>
    <x v="16"/>
    <x v="2"/>
    <x v="7"/>
    <n v="5"/>
    <x v="103"/>
    <n v="23978"/>
    <n v="119890"/>
    <n v="24487.452617766281"/>
  </r>
  <r>
    <n v="1116"/>
    <x v="2"/>
    <x v="1"/>
    <x v="4"/>
    <n v="5"/>
    <x v="104"/>
    <n v="45111"/>
    <n v="225555"/>
    <n v="28168.90396345796"/>
  </r>
  <r>
    <n v="1117"/>
    <x v="2"/>
    <x v="1"/>
    <x v="0"/>
    <n v="4"/>
    <x v="105"/>
    <n v="45111"/>
    <n v="180444"/>
    <n v="11509.495649915691"/>
  </r>
  <r>
    <n v="1118"/>
    <x v="13"/>
    <x v="0"/>
    <x v="2"/>
    <n v="3"/>
    <x v="106"/>
    <n v="35299"/>
    <n v="105897"/>
    <n v="6932.4637744132224"/>
  </r>
  <r>
    <n v="1119"/>
    <x v="19"/>
    <x v="3"/>
    <x v="7"/>
    <n v="3"/>
    <x v="107"/>
    <n v="4587"/>
    <n v="13761"/>
    <n v="974.9584999677902"/>
  </r>
  <r>
    <n v="1120"/>
    <x v="5"/>
    <x v="0"/>
    <x v="3"/>
    <n v="4"/>
    <x v="36"/>
    <n v="18864"/>
    <n v="75456"/>
    <n v="16456.042574142961"/>
  </r>
  <r>
    <n v="1121"/>
    <x v="0"/>
    <x v="3"/>
    <x v="6"/>
    <n v="9"/>
    <x v="108"/>
    <n v="39276"/>
    <n v="353484"/>
    <n v="82056.800020844501"/>
  </r>
  <r>
    <n v="1122"/>
    <x v="12"/>
    <x v="2"/>
    <x v="1"/>
    <n v="2"/>
    <x v="109"/>
    <n v="3922"/>
    <n v="7844"/>
    <n v="584.86555455958717"/>
  </r>
  <r>
    <n v="1123"/>
    <x v="1"/>
    <x v="1"/>
    <x v="3"/>
    <n v="9"/>
    <x v="110"/>
    <n v="39145"/>
    <n v="352305"/>
    <n v="34237.425103604022"/>
  </r>
  <r>
    <n v="1124"/>
    <x v="6"/>
    <x v="2"/>
    <x v="6"/>
    <n v="1"/>
    <x v="111"/>
    <n v="42430"/>
    <n v="42430"/>
    <n v="3526.107050976821"/>
  </r>
  <r>
    <n v="1125"/>
    <x v="15"/>
    <x v="3"/>
    <x v="4"/>
    <n v="1"/>
    <x v="112"/>
    <n v="18639"/>
    <n v="18639"/>
    <n v="1626.516974578183"/>
  </r>
  <r>
    <n v="1126"/>
    <x v="0"/>
    <x v="3"/>
    <x v="3"/>
    <n v="5"/>
    <x v="113"/>
    <n v="39276"/>
    <n v="196380"/>
    <n v="42712.288228861878"/>
  </r>
  <r>
    <n v="1127"/>
    <x v="19"/>
    <x v="2"/>
    <x v="5"/>
    <n v="6"/>
    <x v="97"/>
    <n v="4587"/>
    <n v="27522"/>
    <n v="3204.3667138178462"/>
  </r>
  <r>
    <n v="1128"/>
    <x v="2"/>
    <x v="3"/>
    <x v="1"/>
    <n v="6"/>
    <x v="114"/>
    <n v="45111"/>
    <n v="270666"/>
    <n v="30392.774634435511"/>
  </r>
  <r>
    <n v="1129"/>
    <x v="3"/>
    <x v="2"/>
    <x v="6"/>
    <n v="3"/>
    <x v="115"/>
    <n v="14664"/>
    <n v="43992"/>
    <n v="4200.3176307251879"/>
  </r>
  <r>
    <n v="1130"/>
    <x v="6"/>
    <x v="1"/>
    <x v="6"/>
    <n v="7"/>
    <x v="116"/>
    <n v="42430"/>
    <n v="297010"/>
    <n v="50960.642780166563"/>
  </r>
  <r>
    <n v="1131"/>
    <x v="19"/>
    <x v="2"/>
    <x v="6"/>
    <n v="9"/>
    <x v="117"/>
    <n v="4587"/>
    <n v="41283"/>
    <n v="5195.9254292901223"/>
  </r>
  <r>
    <n v="1132"/>
    <x v="0"/>
    <x v="1"/>
    <x v="4"/>
    <n v="8"/>
    <x v="118"/>
    <n v="39276"/>
    <n v="314208"/>
    <n v="62480.238921275217"/>
  </r>
  <r>
    <n v="1133"/>
    <x v="5"/>
    <x v="2"/>
    <x v="3"/>
    <n v="6"/>
    <x v="96"/>
    <n v="18864"/>
    <n v="113184"/>
    <n v="10312.86900623763"/>
  </r>
  <r>
    <n v="1134"/>
    <x v="8"/>
    <x v="3"/>
    <x v="4"/>
    <n v="8"/>
    <x v="42"/>
    <n v="20365"/>
    <n v="162920"/>
    <n v="33815.345733873022"/>
  </r>
  <r>
    <n v="1135"/>
    <x v="13"/>
    <x v="2"/>
    <x v="2"/>
    <n v="5"/>
    <x v="119"/>
    <n v="35299"/>
    <n v="176495"/>
    <n v="30135.51634854218"/>
  </r>
  <r>
    <n v="1136"/>
    <x v="19"/>
    <x v="3"/>
    <x v="0"/>
    <n v="8"/>
    <x v="120"/>
    <n v="4587"/>
    <n v="36696"/>
    <n v="2673.4305685687041"/>
  </r>
  <r>
    <n v="1137"/>
    <x v="10"/>
    <x v="2"/>
    <x v="0"/>
    <n v="4"/>
    <x v="121"/>
    <n v="20269"/>
    <n v="81076"/>
    <n v="10775.07473377866"/>
  </r>
  <r>
    <n v="1138"/>
    <x v="9"/>
    <x v="2"/>
    <x v="2"/>
    <n v="8"/>
    <x v="122"/>
    <n v="34365"/>
    <n v="274920"/>
    <n v="61225.681443462832"/>
  </r>
  <r>
    <n v="1139"/>
    <x v="9"/>
    <x v="0"/>
    <x v="3"/>
    <n v="2"/>
    <x v="123"/>
    <n v="34365"/>
    <n v="68730"/>
    <n v="16123.511346301981"/>
  </r>
  <r>
    <n v="1140"/>
    <x v="1"/>
    <x v="3"/>
    <x v="5"/>
    <n v="5"/>
    <x v="124"/>
    <n v="39145"/>
    <n v="195725"/>
    <n v="28016.081288169938"/>
  </r>
  <r>
    <n v="1141"/>
    <x v="3"/>
    <x v="0"/>
    <x v="4"/>
    <n v="9"/>
    <x v="125"/>
    <n v="14664"/>
    <n v="131976"/>
    <n v="19290.588204056719"/>
  </r>
  <r>
    <n v="1142"/>
    <x v="0"/>
    <x v="3"/>
    <x v="1"/>
    <n v="4"/>
    <x v="126"/>
    <n v="39276"/>
    <n v="157104"/>
    <n v="36713.7822213728"/>
  </r>
  <r>
    <n v="1143"/>
    <x v="11"/>
    <x v="0"/>
    <x v="6"/>
    <n v="6"/>
    <x v="69"/>
    <n v="36970"/>
    <n v="221820"/>
    <n v="37135.694695594677"/>
  </r>
  <r>
    <n v="1144"/>
    <x v="11"/>
    <x v="1"/>
    <x v="6"/>
    <n v="1"/>
    <x v="127"/>
    <n v="36970"/>
    <n v="36970"/>
    <n v="2091.3682797799829"/>
  </r>
  <r>
    <n v="1145"/>
    <x v="1"/>
    <x v="2"/>
    <x v="3"/>
    <n v="9"/>
    <x v="128"/>
    <n v="39145"/>
    <n v="352305"/>
    <n v="81928.489903926296"/>
  </r>
  <r>
    <n v="1146"/>
    <x v="19"/>
    <x v="3"/>
    <x v="5"/>
    <n v="1"/>
    <x v="44"/>
    <n v="4587"/>
    <n v="4587"/>
    <n v="457.07293858541118"/>
  </r>
  <r>
    <n v="1147"/>
    <x v="16"/>
    <x v="3"/>
    <x v="0"/>
    <n v="5"/>
    <x v="129"/>
    <n v="23978"/>
    <n v="119890"/>
    <n v="19844.958995207118"/>
  </r>
  <r>
    <n v="1148"/>
    <x v="7"/>
    <x v="2"/>
    <x v="0"/>
    <n v="4"/>
    <x v="44"/>
    <n v="21175"/>
    <n v="84700"/>
    <n v="7038.7955972298769"/>
  </r>
  <r>
    <n v="1149"/>
    <x v="0"/>
    <x v="3"/>
    <x v="6"/>
    <n v="3"/>
    <x v="130"/>
    <n v="39276"/>
    <n v="117828"/>
    <n v="6689.7827387071593"/>
  </r>
  <r>
    <n v="1150"/>
    <x v="10"/>
    <x v="3"/>
    <x v="3"/>
    <n v="6"/>
    <x v="131"/>
    <n v="20269"/>
    <n v="121614"/>
    <n v="13656.59964682783"/>
  </r>
  <r>
    <n v="1151"/>
    <x v="4"/>
    <x v="0"/>
    <x v="4"/>
    <n v="2"/>
    <x v="106"/>
    <n v="30446"/>
    <n v="60892"/>
    <n v="12549.788924779279"/>
  </r>
  <r>
    <n v="1152"/>
    <x v="16"/>
    <x v="3"/>
    <x v="0"/>
    <n v="3"/>
    <x v="132"/>
    <n v="23978"/>
    <n v="71934"/>
    <n v="7590.2911351849134"/>
  </r>
  <r>
    <n v="1153"/>
    <x v="15"/>
    <x v="1"/>
    <x v="4"/>
    <n v="5"/>
    <x v="133"/>
    <n v="18639"/>
    <n v="93195"/>
    <n v="8762.1419732575687"/>
  </r>
  <r>
    <n v="1154"/>
    <x v="11"/>
    <x v="1"/>
    <x v="5"/>
    <n v="9"/>
    <x v="134"/>
    <n v="36970"/>
    <n v="332730"/>
    <n v="30789.555474771241"/>
  </r>
  <r>
    <n v="1155"/>
    <x v="5"/>
    <x v="2"/>
    <x v="0"/>
    <n v="2"/>
    <x v="135"/>
    <n v="18864"/>
    <n v="37728"/>
    <n v="5773.694537968845"/>
  </r>
  <r>
    <n v="1156"/>
    <x v="13"/>
    <x v="3"/>
    <x v="0"/>
    <n v="8"/>
    <x v="136"/>
    <n v="35299"/>
    <n v="282392"/>
    <n v="69216.61264365699"/>
  </r>
  <r>
    <n v="1157"/>
    <x v="9"/>
    <x v="2"/>
    <x v="7"/>
    <n v="2"/>
    <x v="137"/>
    <n v="34365"/>
    <n v="68730"/>
    <n v="9745.7626292818604"/>
  </r>
  <r>
    <n v="1158"/>
    <x v="2"/>
    <x v="1"/>
    <x v="0"/>
    <n v="5"/>
    <x v="91"/>
    <n v="45111"/>
    <n v="225555"/>
    <n v="36418.352495998952"/>
  </r>
  <r>
    <n v="1159"/>
    <x v="16"/>
    <x v="3"/>
    <x v="2"/>
    <n v="7"/>
    <x v="138"/>
    <n v="23978"/>
    <n v="167846"/>
    <n v="37283.028334977622"/>
  </r>
  <r>
    <n v="1160"/>
    <x v="1"/>
    <x v="3"/>
    <x v="1"/>
    <n v="8"/>
    <x v="139"/>
    <n v="39145"/>
    <n v="313160"/>
    <n v="49170.486636252906"/>
  </r>
  <r>
    <n v="1161"/>
    <x v="12"/>
    <x v="2"/>
    <x v="2"/>
    <n v="1"/>
    <x v="140"/>
    <n v="3922"/>
    <n v="3922"/>
    <n v="340.79267634095078"/>
  </r>
  <r>
    <n v="1162"/>
    <x v="12"/>
    <x v="1"/>
    <x v="3"/>
    <n v="6"/>
    <x v="141"/>
    <n v="3922"/>
    <n v="23532"/>
    <n v="2586.618199137748"/>
  </r>
  <r>
    <n v="1163"/>
    <x v="1"/>
    <x v="3"/>
    <x v="3"/>
    <n v="1"/>
    <x v="142"/>
    <n v="39145"/>
    <n v="39145"/>
    <n v="4383.7461957569549"/>
  </r>
  <r>
    <n v="1164"/>
    <x v="9"/>
    <x v="2"/>
    <x v="4"/>
    <n v="2"/>
    <x v="143"/>
    <n v="34365"/>
    <n v="68730"/>
    <n v="8898.0348150801419"/>
  </r>
  <r>
    <n v="1165"/>
    <x v="0"/>
    <x v="1"/>
    <x v="2"/>
    <n v="1"/>
    <x v="144"/>
    <n v="39276"/>
    <n v="39276"/>
    <n v="5316.3122092012354"/>
  </r>
  <r>
    <n v="1166"/>
    <x v="8"/>
    <x v="2"/>
    <x v="2"/>
    <n v="5"/>
    <x v="145"/>
    <n v="20365"/>
    <n v="101825"/>
    <n v="21378.8108795425"/>
  </r>
  <r>
    <n v="1167"/>
    <x v="7"/>
    <x v="0"/>
    <x v="2"/>
    <n v="9"/>
    <x v="146"/>
    <n v="21175"/>
    <n v="190575"/>
    <n v="22845.635468765329"/>
  </r>
  <r>
    <n v="1168"/>
    <x v="12"/>
    <x v="3"/>
    <x v="5"/>
    <n v="6"/>
    <x v="147"/>
    <n v="3922"/>
    <n v="23532"/>
    <n v="3380.2862773765082"/>
  </r>
  <r>
    <n v="1169"/>
    <x v="15"/>
    <x v="0"/>
    <x v="0"/>
    <n v="1"/>
    <x v="148"/>
    <n v="18639"/>
    <n v="18639"/>
    <n v="3261.7354845289128"/>
  </r>
  <r>
    <n v="1170"/>
    <x v="12"/>
    <x v="1"/>
    <x v="1"/>
    <n v="1"/>
    <x v="149"/>
    <n v="3922"/>
    <n v="3922"/>
    <n v="492.38823317206879"/>
  </r>
  <r>
    <n v="1171"/>
    <x v="12"/>
    <x v="0"/>
    <x v="4"/>
    <n v="2"/>
    <x v="11"/>
    <n v="3922"/>
    <n v="7844"/>
    <n v="1704.602879093012"/>
  </r>
  <r>
    <n v="1172"/>
    <x v="12"/>
    <x v="0"/>
    <x v="2"/>
    <n v="9"/>
    <x v="150"/>
    <n v="3922"/>
    <n v="35298"/>
    <n v="5912.0874644508713"/>
  </r>
  <r>
    <n v="1173"/>
    <x v="8"/>
    <x v="1"/>
    <x v="2"/>
    <n v="3"/>
    <x v="81"/>
    <n v="20365"/>
    <n v="61095"/>
    <n v="6647.6819354010522"/>
  </r>
  <r>
    <n v="1174"/>
    <x v="8"/>
    <x v="2"/>
    <x v="7"/>
    <n v="1"/>
    <x v="151"/>
    <n v="20365"/>
    <n v="20365"/>
    <n v="3926.6131207439698"/>
  </r>
  <r>
    <n v="1175"/>
    <x v="15"/>
    <x v="0"/>
    <x v="4"/>
    <n v="5"/>
    <x v="81"/>
    <n v="18639"/>
    <n v="93195"/>
    <n v="14494.576042168659"/>
  </r>
  <r>
    <n v="1176"/>
    <x v="11"/>
    <x v="2"/>
    <x v="2"/>
    <n v="7"/>
    <x v="152"/>
    <n v="36970"/>
    <n v="258790"/>
    <n v="40601.868019692592"/>
  </r>
  <r>
    <n v="1177"/>
    <x v="11"/>
    <x v="0"/>
    <x v="4"/>
    <n v="6"/>
    <x v="153"/>
    <n v="36970"/>
    <n v="221820"/>
    <n v="32433.985742266861"/>
  </r>
  <r>
    <n v="1178"/>
    <x v="5"/>
    <x v="2"/>
    <x v="0"/>
    <n v="1"/>
    <x v="154"/>
    <n v="18864"/>
    <n v="18864"/>
    <n v="2818.3266805128078"/>
  </r>
  <r>
    <n v="1179"/>
    <x v="8"/>
    <x v="1"/>
    <x v="7"/>
    <n v="5"/>
    <x v="155"/>
    <n v="20365"/>
    <n v="101825"/>
    <n v="20677.73066391399"/>
  </r>
  <r>
    <n v="1180"/>
    <x v="9"/>
    <x v="0"/>
    <x v="4"/>
    <n v="5"/>
    <x v="156"/>
    <n v="34365"/>
    <n v="171825"/>
    <n v="12130.20853722066"/>
  </r>
  <r>
    <n v="1181"/>
    <x v="10"/>
    <x v="1"/>
    <x v="1"/>
    <n v="6"/>
    <x v="157"/>
    <n v="20269"/>
    <n v="121614"/>
    <n v="14213.339786942601"/>
  </r>
  <r>
    <n v="1182"/>
    <x v="6"/>
    <x v="0"/>
    <x v="1"/>
    <n v="3"/>
    <x v="14"/>
    <n v="42430"/>
    <n v="127290"/>
    <n v="8286.6646357194131"/>
  </r>
  <r>
    <n v="1183"/>
    <x v="3"/>
    <x v="1"/>
    <x v="3"/>
    <n v="5"/>
    <x v="158"/>
    <n v="14664"/>
    <n v="73320"/>
    <n v="14711.602581040621"/>
  </r>
  <r>
    <n v="1184"/>
    <x v="12"/>
    <x v="1"/>
    <x v="7"/>
    <n v="7"/>
    <x v="159"/>
    <n v="3922"/>
    <n v="27454"/>
    <n v="2867.8550238982202"/>
  </r>
  <r>
    <n v="1185"/>
    <x v="10"/>
    <x v="0"/>
    <x v="7"/>
    <n v="5"/>
    <x v="160"/>
    <n v="20269"/>
    <n v="101345"/>
    <n v="23257.266976618961"/>
  </r>
  <r>
    <n v="1186"/>
    <x v="15"/>
    <x v="0"/>
    <x v="3"/>
    <n v="5"/>
    <x v="161"/>
    <n v="18639"/>
    <n v="93195"/>
    <n v="14474.646040062569"/>
  </r>
  <r>
    <n v="1187"/>
    <x v="1"/>
    <x v="0"/>
    <x v="4"/>
    <n v="5"/>
    <x v="162"/>
    <n v="39145"/>
    <n v="195725"/>
    <n v="41131.599804824211"/>
  </r>
  <r>
    <n v="1188"/>
    <x v="8"/>
    <x v="3"/>
    <x v="7"/>
    <n v="3"/>
    <x v="16"/>
    <n v="20365"/>
    <n v="61095"/>
    <n v="15016.31321179143"/>
  </r>
  <r>
    <n v="1189"/>
    <x v="10"/>
    <x v="2"/>
    <x v="1"/>
    <n v="1"/>
    <x v="163"/>
    <n v="20269"/>
    <n v="20269"/>
    <n v="4417.7860784650456"/>
  </r>
  <r>
    <n v="1190"/>
    <x v="3"/>
    <x v="3"/>
    <x v="1"/>
    <n v="5"/>
    <x v="164"/>
    <n v="14664"/>
    <n v="73320"/>
    <n v="16379.596496808979"/>
  </r>
  <r>
    <n v="1191"/>
    <x v="14"/>
    <x v="3"/>
    <x v="2"/>
    <n v="9"/>
    <x v="4"/>
    <n v="26393"/>
    <n v="237537"/>
    <n v="31259.13261509583"/>
  </r>
  <r>
    <n v="1192"/>
    <x v="14"/>
    <x v="1"/>
    <x v="0"/>
    <n v="1"/>
    <x v="165"/>
    <n v="26393"/>
    <n v="26393"/>
    <n v="4231.9728913359513"/>
  </r>
  <r>
    <n v="1193"/>
    <x v="11"/>
    <x v="0"/>
    <x v="7"/>
    <n v="3"/>
    <x v="166"/>
    <n v="36970"/>
    <n v="110910"/>
    <n v="11177.25612760858"/>
  </r>
  <r>
    <n v="1194"/>
    <x v="16"/>
    <x v="2"/>
    <x v="4"/>
    <n v="4"/>
    <x v="167"/>
    <n v="23978"/>
    <n v="95912"/>
    <n v="8557.5199235596901"/>
  </r>
  <r>
    <n v="1195"/>
    <x v="10"/>
    <x v="1"/>
    <x v="3"/>
    <n v="1"/>
    <x v="168"/>
    <n v="20269"/>
    <n v="20269"/>
    <n v="3062.6778403200401"/>
  </r>
  <r>
    <n v="1196"/>
    <x v="14"/>
    <x v="3"/>
    <x v="3"/>
    <n v="1"/>
    <x v="169"/>
    <n v="26393"/>
    <n v="26393"/>
    <n v="4460.675544246641"/>
  </r>
  <r>
    <n v="1197"/>
    <x v="7"/>
    <x v="0"/>
    <x v="4"/>
    <n v="8"/>
    <x v="170"/>
    <n v="21175"/>
    <n v="169400"/>
    <n v="19964.509810962951"/>
  </r>
  <r>
    <n v="1198"/>
    <x v="1"/>
    <x v="1"/>
    <x v="5"/>
    <n v="2"/>
    <x v="171"/>
    <n v="39145"/>
    <n v="78290"/>
    <n v="12830.846601140889"/>
  </r>
  <r>
    <n v="1199"/>
    <x v="6"/>
    <x v="0"/>
    <x v="6"/>
    <n v="8"/>
    <x v="86"/>
    <n v="42430"/>
    <n v="339440"/>
    <n v="77219.917236876689"/>
  </r>
  <r>
    <n v="1200"/>
    <x v="5"/>
    <x v="1"/>
    <x v="0"/>
    <n v="7"/>
    <x v="17"/>
    <n v="18864"/>
    <n v="132048"/>
    <n v="21305.194365494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CBC04-90E2-4A08-A605-2985AF5FE264}"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3:G9" firstHeaderRow="0" firstDataRow="1" firstDataCol="1"/>
  <pivotFields count="11">
    <pivotField showAll="0"/>
    <pivotField axis="axisRow" showAll="0" measureFilter="1">
      <items count="21">
        <item x="11"/>
        <item x="8"/>
        <item x="7"/>
        <item x="6"/>
        <item x="15"/>
        <item x="10"/>
        <item x="0"/>
        <item x="4"/>
        <item x="16"/>
        <item x="13"/>
        <item x="3"/>
        <item x="9"/>
        <item x="19"/>
        <item x="18"/>
        <item x="2"/>
        <item x="14"/>
        <item x="12"/>
        <item x="17"/>
        <item x="5"/>
        <item x="1"/>
        <item t="default"/>
      </items>
    </pivotField>
    <pivotField showAll="0">
      <items count="5">
        <item h="1" x="1"/>
        <item h="1" x="3"/>
        <item h="1" x="0"/>
        <item x="2"/>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dataField="1"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6">
    <i>
      <x v="2"/>
    </i>
    <i>
      <x v="6"/>
    </i>
    <i>
      <x v="7"/>
    </i>
    <i>
      <x v="8"/>
    </i>
    <i>
      <x v="11"/>
    </i>
    <i t="grand">
      <x/>
    </i>
  </rowItems>
  <colFields count="1">
    <field x="-2"/>
  </colFields>
  <colItems count="2">
    <i>
      <x/>
    </i>
    <i i="1">
      <x v="1"/>
    </i>
  </colItems>
  <dataFields count="2">
    <dataField name="Sum of Sales" fld="7" baseField="0" baseItem="0"/>
    <dataField name="Sum of Profit" fld="8" baseField="0" baseItem="0"/>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5" type="dateBetween" evalOrder="-1" id="57" name="Order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 fld="1" type="count" evalOrder="-1" id="5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50CF6-8DAE-4B11-B7CB-BC62496BD47E}"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5" firstHeaderRow="1" firstDataRow="1" firstDataCol="1"/>
  <pivotFields count="11">
    <pivotField showAll="0"/>
    <pivotField showAll="0">
      <items count="21">
        <item x="11"/>
        <item x="8"/>
        <item x="7"/>
        <item x="6"/>
        <item x="15"/>
        <item x="10"/>
        <item x="0"/>
        <item x="4"/>
        <item x="16"/>
        <item x="13"/>
        <item x="3"/>
        <item x="9"/>
        <item x="19"/>
        <item x="18"/>
        <item x="2"/>
        <item x="14"/>
        <item x="12"/>
        <item x="17"/>
        <item x="5"/>
        <item x="1"/>
        <item t="default"/>
      </items>
    </pivotField>
    <pivotField axis="axisRow" showAll="0">
      <items count="5">
        <item h="1" x="1"/>
        <item h="1" x="3"/>
        <item h="1" x="0"/>
        <item x="2"/>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dataField="1"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2">
    <i>
      <x v="3"/>
    </i>
    <i t="grand">
      <x/>
    </i>
  </rowItems>
  <colItems count="1">
    <i/>
  </colItems>
  <dataFields count="1">
    <dataField name="Sum of Sales" fld="7" baseField="0" baseItem="0"/>
  </dataFields>
  <chartFormats count="5">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 count="1" selected="0">
            <x v="0"/>
          </reference>
        </references>
      </pivotArea>
    </chartFormat>
    <chartFormat chart="4" format="18">
      <pivotArea type="data" outline="0" fieldPosition="0">
        <references count="2">
          <reference field="4294967294" count="1" selected="0">
            <x v="0"/>
          </reference>
          <reference field="2" count="1" selected="0">
            <x v="1"/>
          </reference>
        </references>
      </pivotArea>
    </chartFormat>
    <chartFormat chart="4" format="19">
      <pivotArea type="data" outline="0" fieldPosition="0">
        <references count="2">
          <reference field="4294967294" count="1" selected="0">
            <x v="0"/>
          </reference>
          <reference field="2" count="1" selected="0">
            <x v="2"/>
          </reference>
        </references>
      </pivotArea>
    </chartFormat>
    <chartFormat chart="4" format="2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5" type="dateBetween" evalOrder="-1" id="55" name="Order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3A415F-64A4-4D56-89EB-2E51A9ADE5C8}"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L3:M12" firstHeaderRow="1" firstDataRow="1" firstDataCol="1"/>
  <pivotFields count="11">
    <pivotField showAll="0"/>
    <pivotField showAll="0">
      <items count="21">
        <item x="11"/>
        <item x="8"/>
        <item x="7"/>
        <item x="6"/>
        <item x="15"/>
        <item x="10"/>
        <item x="0"/>
        <item x="4"/>
        <item x="16"/>
        <item x="13"/>
        <item x="3"/>
        <item x="9"/>
        <item x="19"/>
        <item x="18"/>
        <item x="2"/>
        <item x="14"/>
        <item x="12"/>
        <item x="17"/>
        <item x="5"/>
        <item x="1"/>
        <item t="default"/>
      </items>
    </pivotField>
    <pivotField showAll="0">
      <items count="5">
        <item h="1" x="1"/>
        <item h="1" x="3"/>
        <item h="1" x="0"/>
        <item x="2"/>
        <item t="default"/>
      </items>
    </pivotField>
    <pivotField axis="axisRow" showAll="0">
      <items count="9">
        <item x="0"/>
        <item x="1"/>
        <item x="7"/>
        <item x="2"/>
        <item x="4"/>
        <item x="3"/>
        <item x="6"/>
        <item x="5"/>
        <item t="default"/>
      </items>
    </pivotField>
    <pivotField showAll="0"/>
    <pivotField numFmtId="14" showAll="0">
      <items count="15">
        <item x="0"/>
        <item x="1"/>
        <item x="2"/>
        <item x="3"/>
        <item x="4"/>
        <item x="5"/>
        <item x="6"/>
        <item x="7"/>
        <item x="8"/>
        <item x="9"/>
        <item x="10"/>
        <item x="11"/>
        <item x="12"/>
        <item x="13"/>
        <item t="default"/>
      </items>
    </pivotField>
    <pivotField showAll="0"/>
    <pivotField dataField="1"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9">
    <i>
      <x/>
    </i>
    <i>
      <x v="1"/>
    </i>
    <i>
      <x v="2"/>
    </i>
    <i>
      <x v="3"/>
    </i>
    <i>
      <x v="4"/>
    </i>
    <i>
      <x v="5"/>
    </i>
    <i>
      <x v="6"/>
    </i>
    <i>
      <x v="7"/>
    </i>
    <i t="grand">
      <x/>
    </i>
  </rowItems>
  <colItems count="1">
    <i/>
  </colItems>
  <dataFields count="1">
    <dataField name="Sum of Sales" fld="7"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55" name="Order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19AEE6-281E-460D-8CF5-1F38EA2FD45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6" firstHeaderRow="1" firstDataRow="1" firstDataCol="1"/>
  <pivotFields count="11">
    <pivotField showAll="0"/>
    <pivotField showAll="0">
      <items count="21">
        <item x="11"/>
        <item x="8"/>
        <item x="7"/>
        <item x="6"/>
        <item x="15"/>
        <item x="10"/>
        <item x="0"/>
        <item x="4"/>
        <item x="16"/>
        <item x="13"/>
        <item x="3"/>
        <item x="9"/>
        <item x="19"/>
        <item x="18"/>
        <item x="2"/>
        <item x="14"/>
        <item x="12"/>
        <item x="17"/>
        <item x="5"/>
        <item x="1"/>
        <item t="default"/>
      </items>
    </pivotField>
    <pivotField showAll="0">
      <items count="5">
        <item h="1" x="1"/>
        <item h="1" x="3"/>
        <item h="1" x="0"/>
        <item x="2"/>
        <item t="default"/>
      </items>
    </pivotField>
    <pivotField showAll="0"/>
    <pivotField showAll="0"/>
    <pivotField axis="axisRow" numFmtId="14" showAll="0">
      <items count="15">
        <item x="0"/>
        <item x="1"/>
        <item x="2"/>
        <item x="3"/>
        <item x="4"/>
        <item x="5"/>
        <item x="6"/>
        <item x="7"/>
        <item x="8"/>
        <item x="9"/>
        <item x="10"/>
        <item x="11"/>
        <item x="12"/>
        <item x="13"/>
        <item t="default"/>
      </items>
    </pivotField>
    <pivotField showAll="0"/>
    <pivotField dataField="1" showAll="0"/>
    <pivotField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0"/>
    <field x="5"/>
    <field x="9"/>
  </rowFields>
  <rowItems count="3">
    <i>
      <x v="1"/>
    </i>
    <i>
      <x v="2"/>
    </i>
    <i t="grand">
      <x/>
    </i>
  </rowItems>
  <colItems count="1">
    <i/>
  </colItems>
  <dataFields count="1">
    <dataField name="Sum of Sales" fld="7"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8BC281-D0D6-4B27-B875-4E6C37C92B9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8:C20" firstHeaderRow="1" firstDataRow="1" firstDataCol="1"/>
  <pivotFields count="11">
    <pivotField showAll="0"/>
    <pivotField showAll="0">
      <items count="21">
        <item x="11"/>
        <item x="8"/>
        <item x="7"/>
        <item x="6"/>
        <item x="15"/>
        <item x="10"/>
        <item x="0"/>
        <item x="4"/>
        <item x="16"/>
        <item x="13"/>
        <item x="3"/>
        <item x="9"/>
        <item x="19"/>
        <item x="18"/>
        <item x="2"/>
        <item x="14"/>
        <item x="12"/>
        <item x="17"/>
        <item x="5"/>
        <item x="1"/>
        <item t="default"/>
      </items>
    </pivotField>
    <pivotField axis="axisRow" showAll="0">
      <items count="5">
        <item h="1" x="1"/>
        <item h="1" x="3"/>
        <item h="1" x="0"/>
        <item x="2"/>
        <item t="default"/>
      </items>
    </pivotField>
    <pivotField showAll="0"/>
    <pivotField showAll="0"/>
    <pivotField numFmtId="14" showAll="0"/>
    <pivotField showAll="0"/>
    <pivotField showAll="0"/>
    <pivotField dataField="1" showAll="0"/>
    <pivotField showAll="0" defaultSubtotal="0"/>
    <pivotField showAll="0" defaultSubtotal="0"/>
  </pivotFields>
  <rowFields count="1">
    <field x="2"/>
  </rowFields>
  <rowItems count="2">
    <i>
      <x v="3"/>
    </i>
    <i t="grand">
      <x/>
    </i>
  </rowItems>
  <colItems count="1">
    <i/>
  </colItems>
  <dataFields count="1">
    <dataField name="Sum of Profit" fld="8" baseField="0" baseItem="0"/>
  </dataField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A89EBF-BC6B-44D6-BF94-1CB01C96D3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F9" firstHeaderRow="0" firstDataRow="1" firstDataCol="1"/>
  <pivotFields count="11">
    <pivotField showAll="0"/>
    <pivotField axis="axisRow" showAll="0" measureFilter="1">
      <items count="21">
        <item x="11"/>
        <item x="8"/>
        <item x="7"/>
        <item x="6"/>
        <item x="15"/>
        <item x="10"/>
        <item x="0"/>
        <item x="4"/>
        <item x="16"/>
        <item x="13"/>
        <item x="3"/>
        <item x="9"/>
        <item x="19"/>
        <item x="18"/>
        <item x="2"/>
        <item x="14"/>
        <item x="12"/>
        <item x="17"/>
        <item x="5"/>
        <item x="1"/>
        <item t="default"/>
      </items>
    </pivotField>
    <pivotField showAll="0">
      <items count="5">
        <item h="1" x="1"/>
        <item h="1" x="3"/>
        <item h="1" x="0"/>
        <item x="2"/>
        <item t="default"/>
      </items>
    </pivotField>
    <pivotField showAll="0"/>
    <pivotField showAll="0"/>
    <pivotField numFmtId="14" showAll="0"/>
    <pivotField showAll="0"/>
    <pivotField dataField="1" showAll="0"/>
    <pivotField dataField="1" showAll="0"/>
    <pivotField showAll="0" defaultSubtotal="0"/>
    <pivotField showAll="0" defaultSubtotal="0"/>
  </pivotFields>
  <rowFields count="1">
    <field x="1"/>
  </rowFields>
  <rowItems count="6">
    <i>
      <x v="2"/>
    </i>
    <i>
      <x v="6"/>
    </i>
    <i>
      <x v="7"/>
    </i>
    <i>
      <x v="8"/>
    </i>
    <i>
      <x v="11"/>
    </i>
    <i t="grand">
      <x/>
    </i>
  </rowItems>
  <colFields count="1">
    <field x="-2"/>
  </colFields>
  <colItems count="2">
    <i>
      <x/>
    </i>
    <i i="1">
      <x v="1"/>
    </i>
  </colItems>
  <dataFields count="2">
    <dataField name="Sum of Sales" fld="7" baseField="0" baseItem="0"/>
    <dataField name="Sum of Profit"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EB977-C5F0-4EE1-BD35-86D0DE76F0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1">
    <pivotField showAll="0"/>
    <pivotField showAll="0"/>
    <pivotField axis="axisRow" showAll="0">
      <items count="5">
        <item h="1" x="1"/>
        <item h="1" x="3"/>
        <item h="1" x="0"/>
        <item x="2"/>
        <item t="default"/>
      </items>
    </pivotField>
    <pivotField showAll="0"/>
    <pivotField showAll="0"/>
    <pivotField numFmtId="14" showAll="0"/>
    <pivotField showAll="0"/>
    <pivotField dataField="1" showAll="0"/>
    <pivotField showAll="0"/>
    <pivotField showAll="0" defaultSubtotal="0"/>
    <pivotField showAll="0" defaultSubtotal="0"/>
  </pivotFields>
  <rowFields count="1">
    <field x="2"/>
  </rowFields>
  <rowItems count="2">
    <i>
      <x v="3"/>
    </i>
    <i t="grand">
      <x/>
    </i>
  </rowItems>
  <colItems count="1">
    <i/>
  </colItems>
  <dataFields count="1">
    <dataField name="Sum of Sales" fld="7" baseField="2"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FFFA5B04-8D56-4365-84A5-EF89DB1025B5}" sourceName="ProductID">
  <pivotTables>
    <pivotTable tabId="9" name="PivotTable4"/>
    <pivotTable tabId="9" name="PivotTable1"/>
    <pivotTable tabId="9" name="PivotTable2"/>
    <pivotTable tabId="9" name="PivotTable3"/>
  </pivotTables>
  <data>
    <tabular pivotCacheId="369276471">
      <items count="20">
        <i x="11" s="1"/>
        <i x="8" s="1"/>
        <i x="7" s="1"/>
        <i x="6" s="1"/>
        <i x="15" s="1"/>
        <i x="10" s="1"/>
        <i x="0" s="1"/>
        <i x="4" s="1"/>
        <i x="16" s="1"/>
        <i x="13" s="1"/>
        <i x="3" s="1"/>
        <i x="9" s="1"/>
        <i x="19" s="1"/>
        <i x="18" s="1"/>
        <i x="14" s="1"/>
        <i x="12" s="1"/>
        <i x="17" s="1"/>
        <i x="5"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47046A0-261D-4E34-888A-21EBDCA61049}" sourceName="Region">
  <pivotTables>
    <pivotTable tabId="13" name="PivotTable1"/>
    <pivotTable tabId="13" name="PivotTable2"/>
    <pivotTable tabId="9" name="PivotTable3"/>
    <pivotTable tabId="9" name="PivotTable2"/>
    <pivotTable tabId="9" name="PivotTable1"/>
    <pivotTable tabId="9" name="PivotTable4"/>
    <pivotTable tabId="13" name="PivotTable4"/>
  </pivotTables>
  <data>
    <tabular pivotCacheId="369276471">
      <items count="4">
        <i x="1"/>
        <i x="3"/>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D" xr10:uid="{66FADBE8-72DF-457B-8119-09C5CC7393FC}" cache="Slicer_ProductID" caption="ProductID" style="SlicerStyleLight6" rowHeight="241300"/>
  <slicer name="Region" xr10:uid="{E4595293-423D-4037-8791-E5BF95C1BFAC}" cache="Slicer_Region1" caption="Region"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1EEE1C3-525A-429D-80B3-B443BE278DAA}" cache="Slicer_Region1" caption="Region" columnCount="4" showCaption="0"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4E897-3FC2-401A-ACB6-DDC07A940CFB}" name="Table1" displayName="Table1" ref="A1:I201" totalsRowShown="0" headerRowDxfId="12" headerRowBorderDxfId="11" tableBorderDxfId="10" totalsRowBorderDxfId="9">
  <autoFilter ref="A1:I201" xr:uid="{E364E897-3FC2-401A-ACB6-DDC07A940CFB}"/>
  <tableColumns count="9">
    <tableColumn id="1" xr3:uid="{6BFAFF05-F1FF-4F68-AE6B-3AD71A3F62F2}" name="OrderID" dataDxfId="8"/>
    <tableColumn id="2" xr3:uid="{751E83AE-DFFF-4CBD-8E82-96A969477E67}" name="ProductID" dataDxfId="7"/>
    <tableColumn id="3" xr3:uid="{634EE0B3-27E9-4CAA-8569-89A5018C35AB}" name="Region" dataDxfId="6"/>
    <tableColumn id="4" xr3:uid="{32AC8C21-7DA7-4F2D-91E9-D69F7F81D8A4}" name="Customer" dataDxfId="5"/>
    <tableColumn id="5" xr3:uid="{182AA01D-6D5F-404E-982C-6F2388317D60}" name="Quantity" dataDxfId="4"/>
    <tableColumn id="6" xr3:uid="{0D973290-5981-4AD6-BD39-D65BEDE2AC18}" name="OrderDate" dataDxfId="3"/>
    <tableColumn id="7" xr3:uid="{9538B9F8-1FE8-4E31-8FE4-FC6F46A6F515}" name="UnitPrice" dataDxfId="2"/>
    <tableColumn id="8" xr3:uid="{1A24E581-5AD8-4D4A-B9A3-589809A6CD7F}" name="Sales" dataDxfId="1"/>
    <tableColumn id="9" xr3:uid="{FB9E91E0-8229-42A1-B12A-5E88703DCB78}"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8230E-04C5-471D-94B0-88B9310D7282}">
  <dimension ref="A3:M12"/>
  <sheetViews>
    <sheetView topLeftCell="D1" workbookViewId="0">
      <selection activeCell="J19" sqref="J19"/>
    </sheetView>
  </sheetViews>
  <sheetFormatPr defaultRowHeight="15" x14ac:dyDescent="0.25"/>
  <cols>
    <col min="1" max="1" width="13.140625" bestFit="1" customWidth="1"/>
    <col min="2" max="2" width="12.140625" bestFit="1" customWidth="1"/>
    <col min="5" max="5" width="13.140625" bestFit="1" customWidth="1"/>
    <col min="6" max="6" width="12.140625" bestFit="1" customWidth="1"/>
    <col min="7" max="7" width="12.5703125" bestFit="1" customWidth="1"/>
    <col min="9" max="9" width="13.140625" bestFit="1" customWidth="1"/>
    <col min="10" max="10" width="12.140625" bestFit="1" customWidth="1"/>
    <col min="12" max="12" width="13.140625" bestFit="1" customWidth="1"/>
    <col min="13" max="13" width="12.140625" bestFit="1" customWidth="1"/>
  </cols>
  <sheetData>
    <row r="3" spans="1:13" x14ac:dyDescent="0.25">
      <c r="A3" s="2" t="s">
        <v>40</v>
      </c>
      <c r="B3" t="s">
        <v>41</v>
      </c>
      <c r="E3" s="2" t="s">
        <v>40</v>
      </c>
      <c r="F3" t="s">
        <v>41</v>
      </c>
      <c r="G3" t="s">
        <v>42</v>
      </c>
      <c r="I3" s="2" t="s">
        <v>40</v>
      </c>
      <c r="J3" t="s">
        <v>41</v>
      </c>
      <c r="L3" s="2" t="s">
        <v>40</v>
      </c>
      <c r="M3" t="s">
        <v>41</v>
      </c>
    </row>
    <row r="4" spans="1:13" x14ac:dyDescent="0.25">
      <c r="A4" s="3" t="s">
        <v>11</v>
      </c>
      <c r="B4" s="4">
        <v>7551772</v>
      </c>
      <c r="E4" s="3">
        <v>103</v>
      </c>
      <c r="F4" s="4">
        <v>550550</v>
      </c>
      <c r="G4" s="4">
        <v>81554.303090434289</v>
      </c>
      <c r="I4" s="3" t="s">
        <v>43</v>
      </c>
      <c r="J4" s="4">
        <v>4366764</v>
      </c>
      <c r="L4" s="3" t="s">
        <v>13</v>
      </c>
      <c r="M4" s="4">
        <v>1128272</v>
      </c>
    </row>
    <row r="5" spans="1:13" x14ac:dyDescent="0.25">
      <c r="A5" s="3" t="s">
        <v>21</v>
      </c>
      <c r="B5" s="4">
        <v>7551772</v>
      </c>
      <c r="E5" s="3">
        <v>107</v>
      </c>
      <c r="F5" s="4">
        <v>1099728</v>
      </c>
      <c r="G5" s="4">
        <v>196085.29714828232</v>
      </c>
      <c r="I5" s="3" t="s">
        <v>44</v>
      </c>
      <c r="J5" s="4">
        <v>3185008</v>
      </c>
      <c r="L5" s="3" t="s">
        <v>14</v>
      </c>
      <c r="M5" s="4">
        <v>772057</v>
      </c>
    </row>
    <row r="6" spans="1:13" x14ac:dyDescent="0.25">
      <c r="E6" s="3">
        <v>108</v>
      </c>
      <c r="F6" s="4">
        <v>700258</v>
      </c>
      <c r="G6" s="4">
        <v>97962.841109962043</v>
      </c>
      <c r="I6" s="3" t="s">
        <v>21</v>
      </c>
      <c r="J6" s="4">
        <v>7551772</v>
      </c>
      <c r="L6" s="3" t="s">
        <v>20</v>
      </c>
      <c r="M6" s="4">
        <v>524209</v>
      </c>
    </row>
    <row r="7" spans="1:13" x14ac:dyDescent="0.25">
      <c r="E7" s="3">
        <v>109</v>
      </c>
      <c r="F7" s="4">
        <v>671384</v>
      </c>
      <c r="G7" s="4">
        <v>77059.082586453194</v>
      </c>
      <c r="L7" s="3" t="s">
        <v>15</v>
      </c>
      <c r="M7" s="4">
        <v>1351089</v>
      </c>
    </row>
    <row r="8" spans="1:13" x14ac:dyDescent="0.25">
      <c r="E8" s="3">
        <v>112</v>
      </c>
      <c r="F8" s="4">
        <v>1340235</v>
      </c>
      <c r="G8" s="4">
        <v>220308.32955427773</v>
      </c>
      <c r="L8" s="3" t="s">
        <v>17</v>
      </c>
      <c r="M8" s="4">
        <v>1293206</v>
      </c>
    </row>
    <row r="9" spans="1:13" x14ac:dyDescent="0.25">
      <c r="E9" s="3" t="s">
        <v>21</v>
      </c>
      <c r="F9" s="4">
        <v>4362155</v>
      </c>
      <c r="G9" s="4">
        <v>672969.85348940955</v>
      </c>
      <c r="L9" s="3" t="s">
        <v>16</v>
      </c>
      <c r="M9" s="4">
        <v>1182969</v>
      </c>
    </row>
    <row r="10" spans="1:13" x14ac:dyDescent="0.25">
      <c r="L10" s="3" t="s">
        <v>19</v>
      </c>
      <c r="M10" s="4">
        <v>712390</v>
      </c>
    </row>
    <row r="11" spans="1:13" x14ac:dyDescent="0.25">
      <c r="L11" s="3" t="s">
        <v>18</v>
      </c>
      <c r="M11" s="4">
        <v>587580</v>
      </c>
    </row>
    <row r="12" spans="1:13" x14ac:dyDescent="0.25">
      <c r="L12" s="3" t="s">
        <v>21</v>
      </c>
      <c r="M12" s="4">
        <v>7551772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9FDC6-86BB-4F75-A902-84FC80CF1D36}">
  <dimension ref="A1"/>
  <sheetViews>
    <sheetView showGridLines="0" zoomScaleNormal="100" workbookViewId="0">
      <selection activeCell="Q22" sqref="Q22"/>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4D82-5375-46D3-AEE5-9EF14DFBDD43}">
  <dimension ref="A3:F20"/>
  <sheetViews>
    <sheetView topLeftCell="A10" zoomScale="130" zoomScaleNormal="130" workbookViewId="0">
      <selection activeCell="D22" sqref="D22"/>
    </sheetView>
  </sheetViews>
  <sheetFormatPr defaultRowHeight="15" x14ac:dyDescent="0.25"/>
  <cols>
    <col min="1" max="4" width="13.140625" bestFit="1" customWidth="1"/>
    <col min="5" max="5" width="12.140625" bestFit="1" customWidth="1"/>
    <col min="6" max="6" width="13.140625" bestFit="1" customWidth="1"/>
  </cols>
  <sheetData>
    <row r="3" spans="1:6" x14ac:dyDescent="0.25">
      <c r="A3" s="2" t="s">
        <v>40</v>
      </c>
      <c r="B3" t="s">
        <v>41</v>
      </c>
      <c r="D3" s="2" t="s">
        <v>40</v>
      </c>
      <c r="E3" t="s">
        <v>41</v>
      </c>
      <c r="F3" t="s">
        <v>42</v>
      </c>
    </row>
    <row r="4" spans="1:6" x14ac:dyDescent="0.25">
      <c r="A4" s="3" t="s">
        <v>11</v>
      </c>
      <c r="B4" s="4">
        <v>7551772</v>
      </c>
      <c r="D4" s="3">
        <v>103</v>
      </c>
      <c r="E4" s="4">
        <v>550550</v>
      </c>
      <c r="F4" s="4">
        <v>81554.303090434289</v>
      </c>
    </row>
    <row r="5" spans="1:6" x14ac:dyDescent="0.25">
      <c r="A5" s="3" t="s">
        <v>21</v>
      </c>
      <c r="B5" s="4">
        <v>7551772</v>
      </c>
      <c r="D5" s="3">
        <v>107</v>
      </c>
      <c r="E5" s="4">
        <v>1099728</v>
      </c>
      <c r="F5" s="4">
        <v>196085.29714828232</v>
      </c>
    </row>
    <row r="6" spans="1:6" x14ac:dyDescent="0.25">
      <c r="D6" s="3">
        <v>108</v>
      </c>
      <c r="E6" s="4">
        <v>700258</v>
      </c>
      <c r="F6" s="4">
        <v>97962.841109962043</v>
      </c>
    </row>
    <row r="7" spans="1:6" x14ac:dyDescent="0.25">
      <c r="D7" s="3">
        <v>109</v>
      </c>
      <c r="E7" s="4">
        <v>671384</v>
      </c>
      <c r="F7" s="4">
        <v>77059.082586453194</v>
      </c>
    </row>
    <row r="8" spans="1:6" x14ac:dyDescent="0.25">
      <c r="D8" s="3">
        <v>112</v>
      </c>
      <c r="E8" s="4">
        <v>1340235</v>
      </c>
      <c r="F8" s="4">
        <v>220308.32955427773</v>
      </c>
    </row>
    <row r="9" spans="1:6" x14ac:dyDescent="0.25">
      <c r="D9" s="3" t="s">
        <v>21</v>
      </c>
      <c r="E9" s="4">
        <v>4362155</v>
      </c>
      <c r="F9" s="4">
        <v>672969.85348940955</v>
      </c>
    </row>
    <row r="13" spans="1:6" ht="26.25" x14ac:dyDescent="0.4">
      <c r="B13" t="s">
        <v>45</v>
      </c>
      <c r="C13" s="33">
        <f>GETPIVOTDATA("Sales",$A$3)</f>
        <v>7551772</v>
      </c>
    </row>
    <row r="14" spans="1:6" ht="26.25" x14ac:dyDescent="0.4">
      <c r="B14" t="s">
        <v>46</v>
      </c>
      <c r="C14" s="33">
        <f>GETPIVOTDATA("Profit",$B$18)</f>
        <v>1182919.9656289259</v>
      </c>
    </row>
    <row r="18" spans="2:3" x14ac:dyDescent="0.25">
      <c r="B18" s="2" t="s">
        <v>40</v>
      </c>
      <c r="C18" t="s">
        <v>42</v>
      </c>
    </row>
    <row r="19" spans="2:3" x14ac:dyDescent="0.25">
      <c r="B19" s="3" t="s">
        <v>11</v>
      </c>
      <c r="C19" s="4">
        <v>1182919.9656289259</v>
      </c>
    </row>
    <row r="20" spans="2:3" x14ac:dyDescent="0.25">
      <c r="B20" s="3" t="s">
        <v>21</v>
      </c>
      <c r="C20" s="4">
        <v>1182919.9656289259</v>
      </c>
    </row>
  </sheetData>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abSelected="1" topLeftCell="A26" zoomScale="190" zoomScaleNormal="190" workbookViewId="0">
      <selection activeCell="E28" sqref="A2:I201"/>
    </sheetView>
  </sheetViews>
  <sheetFormatPr defaultRowHeight="15" x14ac:dyDescent="0.25"/>
  <cols>
    <col min="1" max="1" width="8.7109375" customWidth="1"/>
    <col min="2" max="2" width="10.42578125" customWidth="1"/>
    <col min="3" max="3" width="7.7109375" customWidth="1"/>
    <col min="4" max="4" width="10.140625" customWidth="1"/>
    <col min="5" max="5" width="9.42578125" customWidth="1"/>
    <col min="6" max="6" width="11" style="1" customWidth="1"/>
    <col min="7" max="7" width="9.7109375" customWidth="1"/>
    <col min="8" max="8" width="7.140625" bestFit="1" customWidth="1"/>
    <col min="9" max="9" width="12.42578125" bestFit="1" customWidth="1"/>
  </cols>
  <sheetData>
    <row r="1" spans="1:9" x14ac:dyDescent="0.25">
      <c r="A1" s="11" t="s">
        <v>0</v>
      </c>
      <c r="B1" s="12" t="s">
        <v>1</v>
      </c>
      <c r="C1" s="12" t="s">
        <v>2</v>
      </c>
      <c r="D1" s="12" t="s">
        <v>3</v>
      </c>
      <c r="E1" s="12" t="s">
        <v>4</v>
      </c>
      <c r="F1" s="13" t="s">
        <v>5</v>
      </c>
      <c r="G1" s="12" t="s">
        <v>6</v>
      </c>
      <c r="H1" s="12" t="s">
        <v>7</v>
      </c>
      <c r="I1" s="14" t="s">
        <v>8</v>
      </c>
    </row>
    <row r="2" spans="1:9" x14ac:dyDescent="0.25">
      <c r="A2" s="9">
        <v>1001</v>
      </c>
      <c r="B2" s="5">
        <v>107</v>
      </c>
      <c r="C2" s="5" t="s">
        <v>9</v>
      </c>
      <c r="D2" s="5" t="s">
        <v>13</v>
      </c>
      <c r="E2" s="5">
        <v>3</v>
      </c>
      <c r="F2" s="6">
        <v>45080</v>
      </c>
      <c r="G2" s="5">
        <v>39276</v>
      </c>
      <c r="H2" s="5">
        <v>117828</v>
      </c>
      <c r="I2" s="10">
        <v>25653.10114536258</v>
      </c>
    </row>
    <row r="3" spans="1:9" x14ac:dyDescent="0.25">
      <c r="A3" s="9">
        <v>1002</v>
      </c>
      <c r="B3" s="5">
        <v>120</v>
      </c>
      <c r="C3" s="5" t="s">
        <v>10</v>
      </c>
      <c r="D3" s="5" t="s">
        <v>14</v>
      </c>
      <c r="E3" s="5">
        <v>2</v>
      </c>
      <c r="F3" s="6">
        <v>45176</v>
      </c>
      <c r="G3" s="5">
        <v>39145</v>
      </c>
      <c r="H3" s="5">
        <v>78290</v>
      </c>
      <c r="I3" s="10">
        <v>7125.604436820232</v>
      </c>
    </row>
    <row r="4" spans="1:9" x14ac:dyDescent="0.25">
      <c r="A4" s="9">
        <v>1003</v>
      </c>
      <c r="B4" s="5">
        <v>115</v>
      </c>
      <c r="C4" s="5" t="s">
        <v>10</v>
      </c>
      <c r="D4" s="5" t="s">
        <v>15</v>
      </c>
      <c r="E4" s="5">
        <v>3</v>
      </c>
      <c r="F4" s="6">
        <v>45600</v>
      </c>
      <c r="G4" s="5">
        <v>45111</v>
      </c>
      <c r="H4" s="5">
        <v>135333</v>
      </c>
      <c r="I4" s="10">
        <v>32966.958200443507</v>
      </c>
    </row>
    <row r="5" spans="1:9" x14ac:dyDescent="0.25">
      <c r="A5" s="9">
        <v>1004</v>
      </c>
      <c r="B5" s="5">
        <v>111</v>
      </c>
      <c r="C5" s="5" t="s">
        <v>10</v>
      </c>
      <c r="D5" s="5" t="s">
        <v>16</v>
      </c>
      <c r="E5" s="5">
        <v>7</v>
      </c>
      <c r="F5" s="6">
        <v>45364</v>
      </c>
      <c r="G5" s="5">
        <v>14664</v>
      </c>
      <c r="H5" s="5">
        <v>102648</v>
      </c>
      <c r="I5" s="10">
        <v>19727.970009526911</v>
      </c>
    </row>
    <row r="6" spans="1:9" x14ac:dyDescent="0.25">
      <c r="A6" s="9">
        <v>1005</v>
      </c>
      <c r="B6" s="5">
        <v>108</v>
      </c>
      <c r="C6" s="5" t="s">
        <v>11</v>
      </c>
      <c r="D6" s="5" t="s">
        <v>17</v>
      </c>
      <c r="E6" s="5">
        <v>1</v>
      </c>
      <c r="F6" s="6">
        <v>45044</v>
      </c>
      <c r="G6" s="5">
        <v>30446</v>
      </c>
      <c r="H6" s="5">
        <v>30446</v>
      </c>
      <c r="I6" s="10">
        <v>2737.137581948497</v>
      </c>
    </row>
    <row r="7" spans="1:9" x14ac:dyDescent="0.25">
      <c r="A7" s="9">
        <v>1006</v>
      </c>
      <c r="B7" s="5">
        <v>107</v>
      </c>
      <c r="C7" s="5" t="s">
        <v>11</v>
      </c>
      <c r="D7" s="5" t="s">
        <v>13</v>
      </c>
      <c r="E7" s="5">
        <v>8</v>
      </c>
      <c r="F7" s="6">
        <v>45232</v>
      </c>
      <c r="G7" s="5">
        <v>39276</v>
      </c>
      <c r="H7" s="5">
        <v>314208</v>
      </c>
      <c r="I7" s="10">
        <v>61977.351019106907</v>
      </c>
    </row>
    <row r="8" spans="1:9" x14ac:dyDescent="0.25">
      <c r="A8" s="9">
        <v>1007</v>
      </c>
      <c r="B8" s="5">
        <v>119</v>
      </c>
      <c r="C8" s="5" t="s">
        <v>10</v>
      </c>
      <c r="D8" s="5" t="s">
        <v>18</v>
      </c>
      <c r="E8" s="5">
        <v>2</v>
      </c>
      <c r="F8" s="6">
        <v>45194</v>
      </c>
      <c r="G8" s="5">
        <v>18864</v>
      </c>
      <c r="H8" s="5">
        <v>37728</v>
      </c>
      <c r="I8" s="10">
        <v>5884.3608789154341</v>
      </c>
    </row>
    <row r="9" spans="1:9" x14ac:dyDescent="0.25">
      <c r="A9" s="9">
        <v>1008</v>
      </c>
      <c r="B9" s="5">
        <v>111</v>
      </c>
      <c r="C9" s="5" t="s">
        <v>11</v>
      </c>
      <c r="D9" s="5" t="s">
        <v>14</v>
      </c>
      <c r="E9" s="5">
        <v>3</v>
      </c>
      <c r="F9" s="6">
        <v>44980</v>
      </c>
      <c r="G9" s="5">
        <v>14664</v>
      </c>
      <c r="H9" s="5">
        <v>43992</v>
      </c>
      <c r="I9" s="10">
        <v>8422.0932735180813</v>
      </c>
    </row>
    <row r="10" spans="1:9" x14ac:dyDescent="0.25">
      <c r="A10" s="9">
        <v>1009</v>
      </c>
      <c r="B10" s="5">
        <v>111</v>
      </c>
      <c r="C10" s="5" t="s">
        <v>12</v>
      </c>
      <c r="D10" s="5" t="s">
        <v>17</v>
      </c>
      <c r="E10" s="5">
        <v>9</v>
      </c>
      <c r="F10" s="6">
        <v>45162</v>
      </c>
      <c r="G10" s="5">
        <v>14664</v>
      </c>
      <c r="H10" s="5">
        <v>131976</v>
      </c>
      <c r="I10" s="10">
        <v>26864.493496484021</v>
      </c>
    </row>
    <row r="11" spans="1:9" x14ac:dyDescent="0.25">
      <c r="A11" s="9">
        <v>1010</v>
      </c>
      <c r="B11" s="5">
        <v>104</v>
      </c>
      <c r="C11" s="5" t="s">
        <v>12</v>
      </c>
      <c r="D11" s="5" t="s">
        <v>16</v>
      </c>
      <c r="E11" s="5">
        <v>7</v>
      </c>
      <c r="F11" s="6">
        <v>45315</v>
      </c>
      <c r="G11" s="5">
        <v>42430</v>
      </c>
      <c r="H11" s="5">
        <v>297010</v>
      </c>
      <c r="I11" s="10">
        <v>20035.711247985899</v>
      </c>
    </row>
    <row r="12" spans="1:9" x14ac:dyDescent="0.25">
      <c r="A12" s="9">
        <v>1011</v>
      </c>
      <c r="B12" s="5">
        <v>108</v>
      </c>
      <c r="C12" s="5" t="s">
        <v>11</v>
      </c>
      <c r="D12" s="5" t="s">
        <v>17</v>
      </c>
      <c r="E12" s="5">
        <v>4</v>
      </c>
      <c r="F12" s="6">
        <v>45327</v>
      </c>
      <c r="G12" s="5">
        <v>30446</v>
      </c>
      <c r="H12" s="5">
        <v>121784</v>
      </c>
      <c r="I12" s="10">
        <v>18416.272844253341</v>
      </c>
    </row>
    <row r="13" spans="1:9" x14ac:dyDescent="0.25">
      <c r="A13" s="9">
        <v>1012</v>
      </c>
      <c r="B13" s="5">
        <v>103</v>
      </c>
      <c r="C13" s="5" t="s">
        <v>11</v>
      </c>
      <c r="D13" s="5" t="s">
        <v>14</v>
      </c>
      <c r="E13" s="5">
        <v>5</v>
      </c>
      <c r="F13" s="6">
        <v>45550</v>
      </c>
      <c r="G13" s="5">
        <v>21175</v>
      </c>
      <c r="H13" s="5">
        <v>105875</v>
      </c>
      <c r="I13" s="10">
        <v>25029.153697290589</v>
      </c>
    </row>
    <row r="14" spans="1:9" x14ac:dyDescent="0.25">
      <c r="A14" s="9">
        <v>1013</v>
      </c>
      <c r="B14" s="5">
        <v>102</v>
      </c>
      <c r="C14" s="5" t="s">
        <v>10</v>
      </c>
      <c r="D14" s="5" t="s">
        <v>15</v>
      </c>
      <c r="E14" s="5">
        <v>2</v>
      </c>
      <c r="F14" s="6">
        <v>45229</v>
      </c>
      <c r="G14" s="5">
        <v>20365</v>
      </c>
      <c r="H14" s="5">
        <v>40730</v>
      </c>
      <c r="I14" s="10">
        <v>4648.4512973314031</v>
      </c>
    </row>
    <row r="15" spans="1:9" x14ac:dyDescent="0.25">
      <c r="A15" s="9">
        <v>1014</v>
      </c>
      <c r="B15" s="5">
        <v>112</v>
      </c>
      <c r="C15" s="5" t="s">
        <v>9</v>
      </c>
      <c r="D15" s="5" t="s">
        <v>15</v>
      </c>
      <c r="E15" s="5">
        <v>8</v>
      </c>
      <c r="F15" s="6">
        <v>45133</v>
      </c>
      <c r="G15" s="5">
        <v>34365</v>
      </c>
      <c r="H15" s="5">
        <v>274920</v>
      </c>
      <c r="I15" s="10">
        <v>46400.068236123509</v>
      </c>
    </row>
    <row r="16" spans="1:9" x14ac:dyDescent="0.25">
      <c r="A16" s="9">
        <v>1015</v>
      </c>
      <c r="B16" s="5">
        <v>106</v>
      </c>
      <c r="C16" s="5" t="s">
        <v>11</v>
      </c>
      <c r="D16" s="5" t="s">
        <v>19</v>
      </c>
      <c r="E16" s="5">
        <v>4</v>
      </c>
      <c r="F16" s="6">
        <v>45155</v>
      </c>
      <c r="G16" s="5">
        <v>20269</v>
      </c>
      <c r="H16" s="5">
        <v>81076</v>
      </c>
      <c r="I16" s="10">
        <v>10040.94610377927</v>
      </c>
    </row>
    <row r="17" spans="1:9" x14ac:dyDescent="0.25">
      <c r="A17" s="9">
        <v>1016</v>
      </c>
      <c r="B17" s="5">
        <v>102</v>
      </c>
      <c r="C17" s="5" t="s">
        <v>12</v>
      </c>
      <c r="D17" s="5" t="s">
        <v>15</v>
      </c>
      <c r="E17" s="5">
        <v>9</v>
      </c>
      <c r="F17" s="6">
        <v>45504</v>
      </c>
      <c r="G17" s="5">
        <v>20365</v>
      </c>
      <c r="H17" s="5">
        <v>183285</v>
      </c>
      <c r="I17" s="10">
        <v>25816.35105763554</v>
      </c>
    </row>
    <row r="18" spans="1:9" x14ac:dyDescent="0.25">
      <c r="A18" s="9">
        <v>1017</v>
      </c>
      <c r="B18" s="5">
        <v>101</v>
      </c>
      <c r="C18" s="5" t="s">
        <v>10</v>
      </c>
      <c r="D18" s="5" t="s">
        <v>19</v>
      </c>
      <c r="E18" s="5">
        <v>5</v>
      </c>
      <c r="F18" s="6">
        <v>45001</v>
      </c>
      <c r="G18" s="5">
        <v>36970</v>
      </c>
      <c r="H18" s="5">
        <v>184850</v>
      </c>
      <c r="I18" s="10">
        <v>29524.357270173521</v>
      </c>
    </row>
    <row r="19" spans="1:9" x14ac:dyDescent="0.25">
      <c r="A19" s="9">
        <v>1018</v>
      </c>
      <c r="B19" s="5">
        <v>112</v>
      </c>
      <c r="C19" s="5" t="s">
        <v>11</v>
      </c>
      <c r="D19" s="5" t="s">
        <v>17</v>
      </c>
      <c r="E19" s="5">
        <v>9</v>
      </c>
      <c r="F19" s="6">
        <v>45361</v>
      </c>
      <c r="G19" s="5">
        <v>34365</v>
      </c>
      <c r="H19" s="5">
        <v>309285</v>
      </c>
      <c r="I19" s="10">
        <v>49418.916909992477</v>
      </c>
    </row>
    <row r="20" spans="1:9" x14ac:dyDescent="0.25">
      <c r="A20" s="9">
        <v>1019</v>
      </c>
      <c r="B20" s="5">
        <v>112</v>
      </c>
      <c r="C20" s="5" t="s">
        <v>12</v>
      </c>
      <c r="D20" s="5" t="s">
        <v>20</v>
      </c>
      <c r="E20" s="5">
        <v>4</v>
      </c>
      <c r="F20" s="6">
        <v>45029</v>
      </c>
      <c r="G20" s="5">
        <v>34365</v>
      </c>
      <c r="H20" s="5">
        <v>137460</v>
      </c>
      <c r="I20" s="10">
        <v>12418.973870382841</v>
      </c>
    </row>
    <row r="21" spans="1:9" x14ac:dyDescent="0.25">
      <c r="A21" s="9">
        <v>1020</v>
      </c>
      <c r="B21" s="5">
        <v>117</v>
      </c>
      <c r="C21" s="5" t="s">
        <v>12</v>
      </c>
      <c r="D21" s="5" t="s">
        <v>18</v>
      </c>
      <c r="E21" s="5">
        <v>5</v>
      </c>
      <c r="F21" s="6">
        <v>45348</v>
      </c>
      <c r="G21" s="5">
        <v>3922</v>
      </c>
      <c r="H21" s="5">
        <v>19610</v>
      </c>
      <c r="I21" s="10">
        <v>3665.3896107847058</v>
      </c>
    </row>
    <row r="22" spans="1:9" x14ac:dyDescent="0.25">
      <c r="A22" s="9">
        <v>1021</v>
      </c>
      <c r="B22" s="5">
        <v>110</v>
      </c>
      <c r="C22" s="5" t="s">
        <v>9</v>
      </c>
      <c r="D22" s="5" t="s">
        <v>18</v>
      </c>
      <c r="E22" s="5">
        <v>9</v>
      </c>
      <c r="F22" s="6">
        <v>45630</v>
      </c>
      <c r="G22" s="5">
        <v>35299</v>
      </c>
      <c r="H22" s="5">
        <v>317691</v>
      </c>
      <c r="I22" s="10">
        <v>21467.53162575818</v>
      </c>
    </row>
    <row r="23" spans="1:9" x14ac:dyDescent="0.25">
      <c r="A23" s="9">
        <v>1022</v>
      </c>
      <c r="B23" s="5">
        <v>116</v>
      </c>
      <c r="C23" s="5" t="s">
        <v>10</v>
      </c>
      <c r="D23" s="5" t="s">
        <v>17</v>
      </c>
      <c r="E23" s="5">
        <v>8</v>
      </c>
      <c r="F23" s="6">
        <v>45232</v>
      </c>
      <c r="G23" s="5">
        <v>26393</v>
      </c>
      <c r="H23" s="5">
        <v>211144</v>
      </c>
      <c r="I23" s="10">
        <v>16419.603592728388</v>
      </c>
    </row>
    <row r="24" spans="1:9" x14ac:dyDescent="0.25">
      <c r="A24" s="9">
        <v>1023</v>
      </c>
      <c r="B24" s="5">
        <v>115</v>
      </c>
      <c r="C24" s="5" t="s">
        <v>10</v>
      </c>
      <c r="D24" s="5" t="s">
        <v>13</v>
      </c>
      <c r="E24" s="5">
        <v>3</v>
      </c>
      <c r="F24" s="6">
        <v>45024</v>
      </c>
      <c r="G24" s="5">
        <v>45111</v>
      </c>
      <c r="H24" s="5">
        <v>135333</v>
      </c>
      <c r="I24" s="10">
        <v>6840.0248300878966</v>
      </c>
    </row>
    <row r="25" spans="1:9" x14ac:dyDescent="0.25">
      <c r="A25" s="9">
        <v>1024</v>
      </c>
      <c r="B25" s="5">
        <v>115</v>
      </c>
      <c r="C25" s="5" t="s">
        <v>9</v>
      </c>
      <c r="D25" s="5" t="s">
        <v>13</v>
      </c>
      <c r="E25" s="5">
        <v>1</v>
      </c>
      <c r="F25" s="6">
        <v>45261</v>
      </c>
      <c r="G25" s="5">
        <v>45111</v>
      </c>
      <c r="H25" s="5">
        <v>45111</v>
      </c>
      <c r="I25" s="10">
        <v>3308.4052298990782</v>
      </c>
    </row>
    <row r="26" spans="1:9" x14ac:dyDescent="0.25">
      <c r="A26" s="9">
        <v>1025</v>
      </c>
      <c r="B26" s="5">
        <v>119</v>
      </c>
      <c r="C26" s="5" t="s">
        <v>9</v>
      </c>
      <c r="D26" s="5" t="s">
        <v>15</v>
      </c>
      <c r="E26" s="5">
        <v>3</v>
      </c>
      <c r="F26" s="6">
        <v>45361</v>
      </c>
      <c r="G26" s="5">
        <v>18864</v>
      </c>
      <c r="H26" s="5">
        <v>56592</v>
      </c>
      <c r="I26" s="10">
        <v>8185.0843299857361</v>
      </c>
    </row>
    <row r="27" spans="1:9" x14ac:dyDescent="0.25">
      <c r="A27" s="9">
        <v>1026</v>
      </c>
      <c r="B27" s="5">
        <v>112</v>
      </c>
      <c r="C27" s="5" t="s">
        <v>10</v>
      </c>
      <c r="D27" s="5" t="s">
        <v>18</v>
      </c>
      <c r="E27" s="5">
        <v>4</v>
      </c>
      <c r="F27" s="6">
        <v>45373</v>
      </c>
      <c r="G27" s="5">
        <v>34365</v>
      </c>
      <c r="H27" s="5">
        <v>137460</v>
      </c>
      <c r="I27" s="10">
        <v>23535.952913987119</v>
      </c>
    </row>
    <row r="28" spans="1:9" x14ac:dyDescent="0.25">
      <c r="A28" s="9">
        <v>1027</v>
      </c>
      <c r="B28" s="5">
        <v>120</v>
      </c>
      <c r="C28" s="5" t="s">
        <v>10</v>
      </c>
      <c r="D28" s="5" t="s">
        <v>18</v>
      </c>
      <c r="E28" s="5">
        <v>2</v>
      </c>
      <c r="F28" s="6">
        <v>45234</v>
      </c>
      <c r="G28" s="5">
        <v>39145</v>
      </c>
      <c r="H28" s="5">
        <v>78290</v>
      </c>
      <c r="I28" s="10">
        <v>16351.484207574869</v>
      </c>
    </row>
    <row r="29" spans="1:9" x14ac:dyDescent="0.25">
      <c r="A29" s="9">
        <v>1028</v>
      </c>
      <c r="B29" s="5">
        <v>103</v>
      </c>
      <c r="C29" s="5" t="s">
        <v>11</v>
      </c>
      <c r="D29" s="5" t="s">
        <v>19</v>
      </c>
      <c r="E29" s="5">
        <v>1</v>
      </c>
      <c r="F29" s="6">
        <v>45175</v>
      </c>
      <c r="G29" s="5">
        <v>21175</v>
      </c>
      <c r="H29" s="5">
        <v>21175</v>
      </c>
      <c r="I29" s="10">
        <v>1510.621324230402</v>
      </c>
    </row>
    <row r="30" spans="1:9" x14ac:dyDescent="0.25">
      <c r="A30" s="9">
        <v>1029</v>
      </c>
      <c r="B30" s="5">
        <v>105</v>
      </c>
      <c r="C30" s="5" t="s">
        <v>11</v>
      </c>
      <c r="D30" s="5" t="s">
        <v>20</v>
      </c>
      <c r="E30" s="5">
        <v>7</v>
      </c>
      <c r="F30" s="6">
        <v>45092</v>
      </c>
      <c r="G30" s="5">
        <v>18639</v>
      </c>
      <c r="H30" s="5">
        <v>130473</v>
      </c>
      <c r="I30" s="10">
        <v>28723.04277814538</v>
      </c>
    </row>
    <row r="31" spans="1:9" x14ac:dyDescent="0.25">
      <c r="A31" s="9">
        <v>1030</v>
      </c>
      <c r="B31" s="5">
        <v>119</v>
      </c>
      <c r="C31" s="5" t="s">
        <v>9</v>
      </c>
      <c r="D31" s="5" t="s">
        <v>14</v>
      </c>
      <c r="E31" s="5">
        <v>8</v>
      </c>
      <c r="F31" s="6">
        <v>45407</v>
      </c>
      <c r="G31" s="5">
        <v>18864</v>
      </c>
      <c r="H31" s="5">
        <v>150912</v>
      </c>
      <c r="I31" s="10">
        <v>30060.90151992163</v>
      </c>
    </row>
    <row r="32" spans="1:9" x14ac:dyDescent="0.25">
      <c r="A32" s="9">
        <v>1031</v>
      </c>
      <c r="B32" s="5">
        <v>107</v>
      </c>
      <c r="C32" s="5" t="s">
        <v>11</v>
      </c>
      <c r="D32" s="5" t="s">
        <v>13</v>
      </c>
      <c r="E32" s="5">
        <v>7</v>
      </c>
      <c r="F32" s="6">
        <v>45261</v>
      </c>
      <c r="G32" s="5">
        <v>39276</v>
      </c>
      <c r="H32" s="5">
        <v>274932</v>
      </c>
      <c r="I32" s="10">
        <v>36209.550262691497</v>
      </c>
    </row>
    <row r="33" spans="1:9" x14ac:dyDescent="0.25">
      <c r="A33" s="9">
        <v>1032</v>
      </c>
      <c r="B33" s="5">
        <v>109</v>
      </c>
      <c r="C33" s="5" t="s">
        <v>12</v>
      </c>
      <c r="D33" s="5" t="s">
        <v>18</v>
      </c>
      <c r="E33" s="5">
        <v>5</v>
      </c>
      <c r="F33" s="6">
        <v>45468</v>
      </c>
      <c r="G33" s="5">
        <v>23978</v>
      </c>
      <c r="H33" s="5">
        <v>119890</v>
      </c>
      <c r="I33" s="10">
        <v>28364.488972922722</v>
      </c>
    </row>
    <row r="34" spans="1:9" x14ac:dyDescent="0.25">
      <c r="A34" s="9">
        <v>1033</v>
      </c>
      <c r="B34" s="5">
        <v>107</v>
      </c>
      <c r="C34" s="5" t="s">
        <v>11</v>
      </c>
      <c r="D34" s="5" t="s">
        <v>19</v>
      </c>
      <c r="E34" s="5">
        <v>1</v>
      </c>
      <c r="F34" s="6">
        <v>45032</v>
      </c>
      <c r="G34" s="5">
        <v>39276</v>
      </c>
      <c r="H34" s="5">
        <v>39276</v>
      </c>
      <c r="I34" s="10">
        <v>9747.749223468094</v>
      </c>
    </row>
    <row r="35" spans="1:9" x14ac:dyDescent="0.25">
      <c r="A35" s="9">
        <v>1034</v>
      </c>
      <c r="B35" s="5">
        <v>118</v>
      </c>
      <c r="C35" s="5" t="s">
        <v>11</v>
      </c>
      <c r="D35" s="5" t="s">
        <v>16</v>
      </c>
      <c r="E35" s="5">
        <v>7</v>
      </c>
      <c r="F35" s="6">
        <v>45489</v>
      </c>
      <c r="G35" s="5">
        <v>23357</v>
      </c>
      <c r="H35" s="5">
        <v>163499</v>
      </c>
      <c r="I35" s="10">
        <v>14878.468188378851</v>
      </c>
    </row>
    <row r="36" spans="1:9" x14ac:dyDescent="0.25">
      <c r="A36" s="9">
        <v>1035</v>
      </c>
      <c r="B36" s="5">
        <v>104</v>
      </c>
      <c r="C36" s="5" t="s">
        <v>12</v>
      </c>
      <c r="D36" s="5" t="s">
        <v>19</v>
      </c>
      <c r="E36" s="5">
        <v>7</v>
      </c>
      <c r="F36" s="6">
        <v>45007</v>
      </c>
      <c r="G36" s="5">
        <v>42430</v>
      </c>
      <c r="H36" s="5">
        <v>297010</v>
      </c>
      <c r="I36" s="10">
        <v>37377.436404019667</v>
      </c>
    </row>
    <row r="37" spans="1:9" x14ac:dyDescent="0.25">
      <c r="A37" s="9">
        <v>1036</v>
      </c>
      <c r="B37" s="5">
        <v>114</v>
      </c>
      <c r="C37" s="5" t="s">
        <v>9</v>
      </c>
      <c r="D37" s="5" t="s">
        <v>13</v>
      </c>
      <c r="E37" s="5">
        <v>9</v>
      </c>
      <c r="F37" s="6">
        <v>45059</v>
      </c>
      <c r="G37" s="5">
        <v>4485</v>
      </c>
      <c r="H37" s="5">
        <v>40365</v>
      </c>
      <c r="I37" s="10">
        <v>9497.47619663974</v>
      </c>
    </row>
    <row r="38" spans="1:9" x14ac:dyDescent="0.25">
      <c r="A38" s="9">
        <v>1037</v>
      </c>
      <c r="B38" s="5">
        <v>118</v>
      </c>
      <c r="C38" s="5" t="s">
        <v>12</v>
      </c>
      <c r="D38" s="5" t="s">
        <v>13</v>
      </c>
      <c r="E38" s="5">
        <v>3</v>
      </c>
      <c r="F38" s="6">
        <v>45064</v>
      </c>
      <c r="G38" s="5">
        <v>23357</v>
      </c>
      <c r="H38" s="5">
        <v>70071</v>
      </c>
      <c r="I38" s="10">
        <v>13616.148381538551</v>
      </c>
    </row>
    <row r="39" spans="1:9" x14ac:dyDescent="0.25">
      <c r="A39" s="9">
        <v>1038</v>
      </c>
      <c r="B39" s="5">
        <v>109</v>
      </c>
      <c r="C39" s="5" t="s">
        <v>11</v>
      </c>
      <c r="D39" s="5" t="s">
        <v>19</v>
      </c>
      <c r="E39" s="5">
        <v>9</v>
      </c>
      <c r="F39" s="6">
        <v>45110</v>
      </c>
      <c r="G39" s="5">
        <v>23978</v>
      </c>
      <c r="H39" s="5">
        <v>215802</v>
      </c>
      <c r="I39" s="10">
        <v>12865.884071347609</v>
      </c>
    </row>
    <row r="40" spans="1:9" x14ac:dyDescent="0.25">
      <c r="A40" s="9">
        <v>1039</v>
      </c>
      <c r="B40" s="5">
        <v>102</v>
      </c>
      <c r="C40" s="5" t="s">
        <v>9</v>
      </c>
      <c r="D40" s="5" t="s">
        <v>14</v>
      </c>
      <c r="E40" s="5">
        <v>1</v>
      </c>
      <c r="F40" s="6">
        <v>45327</v>
      </c>
      <c r="G40" s="5">
        <v>20365</v>
      </c>
      <c r="H40" s="5">
        <v>20365</v>
      </c>
      <c r="I40" s="10">
        <v>4201.3584841735128</v>
      </c>
    </row>
    <row r="41" spans="1:9" x14ac:dyDescent="0.25">
      <c r="A41" s="9">
        <v>1040</v>
      </c>
      <c r="B41" s="5">
        <v>120</v>
      </c>
      <c r="C41" s="5" t="s">
        <v>11</v>
      </c>
      <c r="D41" s="5" t="s">
        <v>17</v>
      </c>
      <c r="E41" s="5">
        <v>1</v>
      </c>
      <c r="F41" s="6">
        <v>45256</v>
      </c>
      <c r="G41" s="5">
        <v>39145</v>
      </c>
      <c r="H41" s="5">
        <v>39145</v>
      </c>
      <c r="I41" s="10">
        <v>8439.1992057125844</v>
      </c>
    </row>
    <row r="42" spans="1:9" x14ac:dyDescent="0.25">
      <c r="A42" s="9">
        <v>1041</v>
      </c>
      <c r="B42" s="5">
        <v>115</v>
      </c>
      <c r="C42" s="5" t="s">
        <v>12</v>
      </c>
      <c r="D42" s="5" t="s">
        <v>13</v>
      </c>
      <c r="E42" s="5">
        <v>4</v>
      </c>
      <c r="F42" s="6">
        <v>45434</v>
      </c>
      <c r="G42" s="5">
        <v>45111</v>
      </c>
      <c r="H42" s="5">
        <v>180444</v>
      </c>
      <c r="I42" s="10">
        <v>36106.91386247045</v>
      </c>
    </row>
    <row r="43" spans="1:9" x14ac:dyDescent="0.25">
      <c r="A43" s="9">
        <v>1042</v>
      </c>
      <c r="B43" s="5">
        <v>107</v>
      </c>
      <c r="C43" s="5" t="s">
        <v>12</v>
      </c>
      <c r="D43" s="5" t="s">
        <v>19</v>
      </c>
      <c r="E43" s="5">
        <v>9</v>
      </c>
      <c r="F43" s="6">
        <v>44995</v>
      </c>
      <c r="G43" s="5">
        <v>39276</v>
      </c>
      <c r="H43" s="5">
        <v>353484</v>
      </c>
      <c r="I43" s="10">
        <v>74198.916637190807</v>
      </c>
    </row>
    <row r="44" spans="1:9" x14ac:dyDescent="0.25">
      <c r="A44" s="9">
        <v>1043</v>
      </c>
      <c r="B44" s="5">
        <v>112</v>
      </c>
      <c r="C44" s="5" t="s">
        <v>11</v>
      </c>
      <c r="D44" s="5" t="s">
        <v>18</v>
      </c>
      <c r="E44" s="5">
        <v>6</v>
      </c>
      <c r="F44" s="6">
        <v>45472</v>
      </c>
      <c r="G44" s="5">
        <v>34365</v>
      </c>
      <c r="H44" s="5">
        <v>206190</v>
      </c>
      <c r="I44" s="10">
        <v>44336.321321457581</v>
      </c>
    </row>
    <row r="45" spans="1:9" x14ac:dyDescent="0.25">
      <c r="A45" s="9">
        <v>1044</v>
      </c>
      <c r="B45" s="5">
        <v>108</v>
      </c>
      <c r="C45" s="5" t="s">
        <v>10</v>
      </c>
      <c r="D45" s="5" t="s">
        <v>19</v>
      </c>
      <c r="E45" s="5">
        <v>3</v>
      </c>
      <c r="F45" s="6">
        <v>44979</v>
      </c>
      <c r="G45" s="5">
        <v>30446</v>
      </c>
      <c r="H45" s="5">
        <v>91338</v>
      </c>
      <c r="I45" s="10">
        <v>7972.0717366511008</v>
      </c>
    </row>
    <row r="46" spans="1:9" x14ac:dyDescent="0.25">
      <c r="A46" s="9">
        <v>1045</v>
      </c>
      <c r="B46" s="5">
        <v>115</v>
      </c>
      <c r="C46" s="5" t="s">
        <v>10</v>
      </c>
      <c r="D46" s="5" t="s">
        <v>20</v>
      </c>
      <c r="E46" s="5">
        <v>1</v>
      </c>
      <c r="F46" s="6">
        <v>45376</v>
      </c>
      <c r="G46" s="5">
        <v>45111</v>
      </c>
      <c r="H46" s="5">
        <v>45111</v>
      </c>
      <c r="I46" s="10">
        <v>4382.0080713476418</v>
      </c>
    </row>
    <row r="47" spans="1:9" x14ac:dyDescent="0.25">
      <c r="A47" s="9">
        <v>1046</v>
      </c>
      <c r="B47" s="5">
        <v>103</v>
      </c>
      <c r="C47" s="5" t="s">
        <v>12</v>
      </c>
      <c r="D47" s="5" t="s">
        <v>17</v>
      </c>
      <c r="E47" s="5">
        <v>4</v>
      </c>
      <c r="F47" s="6">
        <v>45131</v>
      </c>
      <c r="G47" s="5">
        <v>21175</v>
      </c>
      <c r="H47" s="5">
        <v>84700</v>
      </c>
      <c r="I47" s="10">
        <v>14970.8700694198</v>
      </c>
    </row>
    <row r="48" spans="1:9" x14ac:dyDescent="0.25">
      <c r="A48" s="9">
        <v>1047</v>
      </c>
      <c r="B48" s="5">
        <v>114</v>
      </c>
      <c r="C48" s="5" t="s">
        <v>12</v>
      </c>
      <c r="D48" s="5" t="s">
        <v>16</v>
      </c>
      <c r="E48" s="5">
        <v>9</v>
      </c>
      <c r="F48" s="6">
        <v>45052</v>
      </c>
      <c r="G48" s="5">
        <v>4485</v>
      </c>
      <c r="H48" s="5">
        <v>40365</v>
      </c>
      <c r="I48" s="10">
        <v>9347.4532712238906</v>
      </c>
    </row>
    <row r="49" spans="1:9" x14ac:dyDescent="0.25">
      <c r="A49" s="9">
        <v>1048</v>
      </c>
      <c r="B49" s="5">
        <v>117</v>
      </c>
      <c r="C49" s="5" t="s">
        <v>10</v>
      </c>
      <c r="D49" s="5" t="s">
        <v>14</v>
      </c>
      <c r="E49" s="5">
        <v>3</v>
      </c>
      <c r="F49" s="6">
        <v>44969</v>
      </c>
      <c r="G49" s="5">
        <v>3922</v>
      </c>
      <c r="H49" s="5">
        <v>11766</v>
      </c>
      <c r="I49" s="10">
        <v>1332.3737974601111</v>
      </c>
    </row>
    <row r="50" spans="1:9" x14ac:dyDescent="0.25">
      <c r="A50" s="9">
        <v>1049</v>
      </c>
      <c r="B50" s="5">
        <v>104</v>
      </c>
      <c r="C50" s="5" t="s">
        <v>10</v>
      </c>
      <c r="D50" s="5" t="s">
        <v>15</v>
      </c>
      <c r="E50" s="5">
        <v>9</v>
      </c>
      <c r="F50" s="6">
        <v>45037</v>
      </c>
      <c r="G50" s="5">
        <v>42430</v>
      </c>
      <c r="H50" s="5">
        <v>381870</v>
      </c>
      <c r="I50" s="10">
        <v>64024.834057171647</v>
      </c>
    </row>
    <row r="51" spans="1:9" x14ac:dyDescent="0.25">
      <c r="A51" s="9">
        <v>1050</v>
      </c>
      <c r="B51" s="5">
        <v>118</v>
      </c>
      <c r="C51" s="5" t="s">
        <v>11</v>
      </c>
      <c r="D51" s="5" t="s">
        <v>16</v>
      </c>
      <c r="E51" s="5">
        <v>7</v>
      </c>
      <c r="F51" s="6">
        <v>45589</v>
      </c>
      <c r="G51" s="5">
        <v>23357</v>
      </c>
      <c r="H51" s="5">
        <v>163499</v>
      </c>
      <c r="I51" s="10">
        <v>30508.326877327541</v>
      </c>
    </row>
    <row r="52" spans="1:9" x14ac:dyDescent="0.25">
      <c r="A52" s="9">
        <v>1051</v>
      </c>
      <c r="B52" s="5">
        <v>108</v>
      </c>
      <c r="C52" s="5" t="s">
        <v>11</v>
      </c>
      <c r="D52" s="5" t="s">
        <v>17</v>
      </c>
      <c r="E52" s="5">
        <v>4</v>
      </c>
      <c r="F52" s="6">
        <v>45109</v>
      </c>
      <c r="G52" s="5">
        <v>30446</v>
      </c>
      <c r="H52" s="5">
        <v>121784</v>
      </c>
      <c r="I52" s="10">
        <v>17097.221692120442</v>
      </c>
    </row>
    <row r="53" spans="1:9" x14ac:dyDescent="0.25">
      <c r="A53" s="9">
        <v>1052</v>
      </c>
      <c r="B53" s="5">
        <v>104</v>
      </c>
      <c r="C53" s="5" t="s">
        <v>10</v>
      </c>
      <c r="D53" s="5" t="s">
        <v>17</v>
      </c>
      <c r="E53" s="5">
        <v>3</v>
      </c>
      <c r="F53" s="6">
        <v>45021</v>
      </c>
      <c r="G53" s="5">
        <v>42430</v>
      </c>
      <c r="H53" s="5">
        <v>127290</v>
      </c>
      <c r="I53" s="10">
        <v>24535.973735706892</v>
      </c>
    </row>
    <row r="54" spans="1:9" x14ac:dyDescent="0.25">
      <c r="A54" s="9">
        <v>1053</v>
      </c>
      <c r="B54" s="5">
        <v>102</v>
      </c>
      <c r="C54" s="5" t="s">
        <v>11</v>
      </c>
      <c r="D54" s="5" t="s">
        <v>17</v>
      </c>
      <c r="E54" s="5">
        <v>5</v>
      </c>
      <c r="F54" s="6">
        <v>45300</v>
      </c>
      <c r="G54" s="5">
        <v>20365</v>
      </c>
      <c r="H54" s="5">
        <v>101825</v>
      </c>
      <c r="I54" s="10">
        <v>23412.97752337511</v>
      </c>
    </row>
    <row r="55" spans="1:9" x14ac:dyDescent="0.25">
      <c r="A55" s="9">
        <v>1054</v>
      </c>
      <c r="B55" s="5">
        <v>106</v>
      </c>
      <c r="C55" s="5" t="s">
        <v>11</v>
      </c>
      <c r="D55" s="5" t="s">
        <v>16</v>
      </c>
      <c r="E55" s="5">
        <v>5</v>
      </c>
      <c r="F55" s="6">
        <v>45446</v>
      </c>
      <c r="G55" s="5">
        <v>20269</v>
      </c>
      <c r="H55" s="5">
        <v>101345</v>
      </c>
      <c r="I55" s="10">
        <v>17717.16419902167</v>
      </c>
    </row>
    <row r="56" spans="1:9" x14ac:dyDescent="0.25">
      <c r="A56" s="9">
        <v>1055</v>
      </c>
      <c r="B56" s="5">
        <v>110</v>
      </c>
      <c r="C56" s="5" t="s">
        <v>9</v>
      </c>
      <c r="D56" s="5" t="s">
        <v>18</v>
      </c>
      <c r="E56" s="5">
        <v>3</v>
      </c>
      <c r="F56" s="6">
        <v>45286</v>
      </c>
      <c r="G56" s="5">
        <v>35299</v>
      </c>
      <c r="H56" s="5">
        <v>105897</v>
      </c>
      <c r="I56" s="10">
        <v>16727.089022714779</v>
      </c>
    </row>
    <row r="57" spans="1:9" x14ac:dyDescent="0.25">
      <c r="A57" s="9">
        <v>1056</v>
      </c>
      <c r="B57" s="5">
        <v>104</v>
      </c>
      <c r="C57" s="5" t="s">
        <v>11</v>
      </c>
      <c r="D57" s="5" t="s">
        <v>17</v>
      </c>
      <c r="E57" s="5">
        <v>9</v>
      </c>
      <c r="F57" s="6">
        <v>45622</v>
      </c>
      <c r="G57" s="5">
        <v>42430</v>
      </c>
      <c r="H57" s="5">
        <v>381870</v>
      </c>
      <c r="I57" s="10">
        <v>52602.185838109013</v>
      </c>
    </row>
    <row r="58" spans="1:9" x14ac:dyDescent="0.25">
      <c r="A58" s="9">
        <v>1057</v>
      </c>
      <c r="B58" s="5">
        <v>118</v>
      </c>
      <c r="C58" s="5" t="s">
        <v>12</v>
      </c>
      <c r="D58" s="5" t="s">
        <v>19</v>
      </c>
      <c r="E58" s="5">
        <v>4</v>
      </c>
      <c r="F58" s="6">
        <v>45207</v>
      </c>
      <c r="G58" s="5">
        <v>23357</v>
      </c>
      <c r="H58" s="5">
        <v>93428</v>
      </c>
      <c r="I58" s="10">
        <v>15462.0774636435</v>
      </c>
    </row>
    <row r="59" spans="1:9" x14ac:dyDescent="0.25">
      <c r="A59" s="9">
        <v>1058</v>
      </c>
      <c r="B59" s="5">
        <v>112</v>
      </c>
      <c r="C59" s="5" t="s">
        <v>11</v>
      </c>
      <c r="D59" s="5" t="s">
        <v>16</v>
      </c>
      <c r="E59" s="5">
        <v>5</v>
      </c>
      <c r="F59" s="6">
        <v>45121</v>
      </c>
      <c r="G59" s="5">
        <v>34365</v>
      </c>
      <c r="H59" s="5">
        <v>171825</v>
      </c>
      <c r="I59" s="10">
        <v>20803.280656739171</v>
      </c>
    </row>
    <row r="60" spans="1:9" x14ac:dyDescent="0.25">
      <c r="A60" s="9">
        <v>1059</v>
      </c>
      <c r="B60" s="5">
        <v>102</v>
      </c>
      <c r="C60" s="5" t="s">
        <v>11</v>
      </c>
      <c r="D60" s="5" t="s">
        <v>15</v>
      </c>
      <c r="E60" s="5">
        <v>4</v>
      </c>
      <c r="F60" s="6">
        <v>45121</v>
      </c>
      <c r="G60" s="5">
        <v>20365</v>
      </c>
      <c r="H60" s="5">
        <v>81460</v>
      </c>
      <c r="I60" s="10">
        <v>10451.02653940287</v>
      </c>
    </row>
    <row r="61" spans="1:9" x14ac:dyDescent="0.25">
      <c r="A61" s="9">
        <v>1060</v>
      </c>
      <c r="B61" s="5">
        <v>110</v>
      </c>
      <c r="C61" s="5" t="s">
        <v>10</v>
      </c>
      <c r="D61" s="5" t="s">
        <v>17</v>
      </c>
      <c r="E61" s="5">
        <v>5</v>
      </c>
      <c r="F61" s="6">
        <v>45593</v>
      </c>
      <c r="G61" s="5">
        <v>35299</v>
      </c>
      <c r="H61" s="5">
        <v>176495</v>
      </c>
      <c r="I61" s="10">
        <v>27598.787175512851</v>
      </c>
    </row>
    <row r="62" spans="1:9" x14ac:dyDescent="0.25">
      <c r="A62" s="9">
        <v>1061</v>
      </c>
      <c r="B62" s="5">
        <v>104</v>
      </c>
      <c r="C62" s="5" t="s">
        <v>12</v>
      </c>
      <c r="D62" s="5" t="s">
        <v>19</v>
      </c>
      <c r="E62" s="5">
        <v>7</v>
      </c>
      <c r="F62" s="6">
        <v>45019</v>
      </c>
      <c r="G62" s="5">
        <v>42430</v>
      </c>
      <c r="H62" s="5">
        <v>297010</v>
      </c>
      <c r="I62" s="10">
        <v>18807.80851423931</v>
      </c>
    </row>
    <row r="63" spans="1:9" x14ac:dyDescent="0.25">
      <c r="A63" s="9">
        <v>1062</v>
      </c>
      <c r="B63" s="5">
        <v>114</v>
      </c>
      <c r="C63" s="5" t="s">
        <v>11</v>
      </c>
      <c r="D63" s="5" t="s">
        <v>18</v>
      </c>
      <c r="E63" s="5">
        <v>9</v>
      </c>
      <c r="F63" s="6">
        <v>45598</v>
      </c>
      <c r="G63" s="5">
        <v>4485</v>
      </c>
      <c r="H63" s="5">
        <v>40365</v>
      </c>
      <c r="I63" s="10">
        <v>3867.171980935881</v>
      </c>
    </row>
    <row r="64" spans="1:9" x14ac:dyDescent="0.25">
      <c r="A64" s="9">
        <v>1063</v>
      </c>
      <c r="B64" s="5">
        <v>116</v>
      </c>
      <c r="C64" s="5" t="s">
        <v>11</v>
      </c>
      <c r="D64" s="5" t="s">
        <v>20</v>
      </c>
      <c r="E64" s="5">
        <v>7</v>
      </c>
      <c r="F64" s="6">
        <v>44987</v>
      </c>
      <c r="G64" s="5">
        <v>26393</v>
      </c>
      <c r="H64" s="5">
        <v>184751</v>
      </c>
      <c r="I64" s="10">
        <v>29295.94059702758</v>
      </c>
    </row>
    <row r="65" spans="1:9" x14ac:dyDescent="0.25">
      <c r="A65" s="9">
        <v>1064</v>
      </c>
      <c r="B65" s="5">
        <v>115</v>
      </c>
      <c r="C65" s="5" t="s">
        <v>9</v>
      </c>
      <c r="D65" s="5" t="s">
        <v>18</v>
      </c>
      <c r="E65" s="5">
        <v>5</v>
      </c>
      <c r="F65" s="6">
        <v>45560</v>
      </c>
      <c r="G65" s="5">
        <v>45111</v>
      </c>
      <c r="H65" s="5">
        <v>225555</v>
      </c>
      <c r="I65" s="10">
        <v>30744.416065028061</v>
      </c>
    </row>
    <row r="66" spans="1:9" x14ac:dyDescent="0.25">
      <c r="A66" s="9">
        <v>1065</v>
      </c>
      <c r="B66" s="5">
        <v>108</v>
      </c>
      <c r="C66" s="5" t="s">
        <v>11</v>
      </c>
      <c r="D66" s="5" t="s">
        <v>15</v>
      </c>
      <c r="E66" s="5">
        <v>7</v>
      </c>
      <c r="F66" s="6">
        <v>44977</v>
      </c>
      <c r="G66" s="5">
        <v>30446</v>
      </c>
      <c r="H66" s="5">
        <v>213122</v>
      </c>
      <c r="I66" s="10">
        <v>24842.173185048101</v>
      </c>
    </row>
    <row r="67" spans="1:9" x14ac:dyDescent="0.25">
      <c r="A67" s="9">
        <v>1066</v>
      </c>
      <c r="B67" s="5">
        <v>114</v>
      </c>
      <c r="C67" s="5" t="s">
        <v>11</v>
      </c>
      <c r="D67" s="5" t="s">
        <v>17</v>
      </c>
      <c r="E67" s="5">
        <v>5</v>
      </c>
      <c r="F67" s="6">
        <v>45329</v>
      </c>
      <c r="G67" s="5">
        <v>4485</v>
      </c>
      <c r="H67" s="5">
        <v>22425</v>
      </c>
      <c r="I67" s="10">
        <v>4397.7628785897168</v>
      </c>
    </row>
    <row r="68" spans="1:9" x14ac:dyDescent="0.25">
      <c r="A68" s="9">
        <v>1067</v>
      </c>
      <c r="B68" s="5">
        <v>108</v>
      </c>
      <c r="C68" s="5" t="s">
        <v>9</v>
      </c>
      <c r="D68" s="5" t="s">
        <v>15</v>
      </c>
      <c r="E68" s="5">
        <v>3</v>
      </c>
      <c r="F68" s="6">
        <v>44931</v>
      </c>
      <c r="G68" s="5">
        <v>30446</v>
      </c>
      <c r="H68" s="5">
        <v>91338</v>
      </c>
      <c r="I68" s="10">
        <v>17239.455765001221</v>
      </c>
    </row>
    <row r="69" spans="1:9" x14ac:dyDescent="0.25">
      <c r="A69" s="9">
        <v>1068</v>
      </c>
      <c r="B69" s="5">
        <v>116</v>
      </c>
      <c r="C69" s="5" t="s">
        <v>10</v>
      </c>
      <c r="D69" s="5" t="s">
        <v>16</v>
      </c>
      <c r="E69" s="5">
        <v>7</v>
      </c>
      <c r="F69" s="6">
        <v>45392</v>
      </c>
      <c r="G69" s="5">
        <v>26393</v>
      </c>
      <c r="H69" s="5">
        <v>184751</v>
      </c>
      <c r="I69" s="10">
        <v>15398.284927907511</v>
      </c>
    </row>
    <row r="70" spans="1:9" x14ac:dyDescent="0.25">
      <c r="A70" s="9">
        <v>1069</v>
      </c>
      <c r="B70" s="5">
        <v>113</v>
      </c>
      <c r="C70" s="5" t="s">
        <v>11</v>
      </c>
      <c r="D70" s="5" t="s">
        <v>13</v>
      </c>
      <c r="E70" s="5">
        <v>2</v>
      </c>
      <c r="F70" s="6">
        <v>45530</v>
      </c>
      <c r="G70" s="5">
        <v>4587</v>
      </c>
      <c r="H70" s="5">
        <v>9174</v>
      </c>
      <c r="I70" s="10">
        <v>2070.8087008871839</v>
      </c>
    </row>
    <row r="71" spans="1:9" x14ac:dyDescent="0.25">
      <c r="A71" s="9">
        <v>1070</v>
      </c>
      <c r="B71" s="5">
        <v>118</v>
      </c>
      <c r="C71" s="5" t="s">
        <v>9</v>
      </c>
      <c r="D71" s="5" t="s">
        <v>17</v>
      </c>
      <c r="E71" s="5">
        <v>9</v>
      </c>
      <c r="F71" s="6">
        <v>45608</v>
      </c>
      <c r="G71" s="5">
        <v>23357</v>
      </c>
      <c r="H71" s="5">
        <v>210213</v>
      </c>
      <c r="I71" s="10">
        <v>31339.54735545137</v>
      </c>
    </row>
    <row r="72" spans="1:9" x14ac:dyDescent="0.25">
      <c r="A72" s="9">
        <v>1071</v>
      </c>
      <c r="B72" s="5">
        <v>115</v>
      </c>
      <c r="C72" s="5" t="s">
        <v>12</v>
      </c>
      <c r="D72" s="5" t="s">
        <v>13</v>
      </c>
      <c r="E72" s="5">
        <v>1</v>
      </c>
      <c r="F72" s="6">
        <v>45460</v>
      </c>
      <c r="G72" s="5">
        <v>45111</v>
      </c>
      <c r="H72" s="5">
        <v>45111</v>
      </c>
      <c r="I72" s="10">
        <v>8945.1586324786949</v>
      </c>
    </row>
    <row r="73" spans="1:9" x14ac:dyDescent="0.25">
      <c r="A73" s="9">
        <v>1072</v>
      </c>
      <c r="B73" s="5">
        <v>113</v>
      </c>
      <c r="C73" s="5" t="s">
        <v>10</v>
      </c>
      <c r="D73" s="5" t="s">
        <v>19</v>
      </c>
      <c r="E73" s="5">
        <v>6</v>
      </c>
      <c r="F73" s="6">
        <v>45331</v>
      </c>
      <c r="G73" s="5">
        <v>4587</v>
      </c>
      <c r="H73" s="5">
        <v>27522</v>
      </c>
      <c r="I73" s="10">
        <v>4530.9515346523704</v>
      </c>
    </row>
    <row r="74" spans="1:9" x14ac:dyDescent="0.25">
      <c r="A74" s="9">
        <v>1073</v>
      </c>
      <c r="B74" s="5">
        <v>109</v>
      </c>
      <c r="C74" s="5" t="s">
        <v>12</v>
      </c>
      <c r="D74" s="5" t="s">
        <v>20</v>
      </c>
      <c r="E74" s="5">
        <v>7</v>
      </c>
      <c r="F74" s="6">
        <v>45439</v>
      </c>
      <c r="G74" s="5">
        <v>23978</v>
      </c>
      <c r="H74" s="5">
        <v>167846</v>
      </c>
      <c r="I74" s="10">
        <v>41884.042962470681</v>
      </c>
    </row>
    <row r="75" spans="1:9" x14ac:dyDescent="0.25">
      <c r="A75" s="9">
        <v>1074</v>
      </c>
      <c r="B75" s="5">
        <v>115</v>
      </c>
      <c r="C75" s="5" t="s">
        <v>12</v>
      </c>
      <c r="D75" s="5" t="s">
        <v>14</v>
      </c>
      <c r="E75" s="5">
        <v>8</v>
      </c>
      <c r="F75" s="6">
        <v>45571</v>
      </c>
      <c r="G75" s="5">
        <v>45111</v>
      </c>
      <c r="H75" s="5">
        <v>360888</v>
      </c>
      <c r="I75" s="10">
        <v>72351.051436914131</v>
      </c>
    </row>
    <row r="76" spans="1:9" x14ac:dyDescent="0.25">
      <c r="A76" s="9">
        <v>1075</v>
      </c>
      <c r="B76" s="5">
        <v>113</v>
      </c>
      <c r="C76" s="5" t="s">
        <v>9</v>
      </c>
      <c r="D76" s="5" t="s">
        <v>15</v>
      </c>
      <c r="E76" s="5">
        <v>9</v>
      </c>
      <c r="F76" s="6">
        <v>45159</v>
      </c>
      <c r="G76" s="5">
        <v>4587</v>
      </c>
      <c r="H76" s="5">
        <v>41283</v>
      </c>
      <c r="I76" s="10">
        <v>7901.404876302744</v>
      </c>
    </row>
    <row r="77" spans="1:9" x14ac:dyDescent="0.25">
      <c r="A77" s="9">
        <v>1076</v>
      </c>
      <c r="B77" s="5">
        <v>101</v>
      </c>
      <c r="C77" s="5" t="s">
        <v>11</v>
      </c>
      <c r="D77" s="5" t="s">
        <v>18</v>
      </c>
      <c r="E77" s="5">
        <v>2</v>
      </c>
      <c r="F77" s="6">
        <v>45450</v>
      </c>
      <c r="G77" s="5">
        <v>36970</v>
      </c>
      <c r="H77" s="5">
        <v>73940</v>
      </c>
      <c r="I77" s="10">
        <v>15210.52183468251</v>
      </c>
    </row>
    <row r="78" spans="1:9" x14ac:dyDescent="0.25">
      <c r="A78" s="9">
        <v>1077</v>
      </c>
      <c r="B78" s="5">
        <v>107</v>
      </c>
      <c r="C78" s="5" t="s">
        <v>9</v>
      </c>
      <c r="D78" s="5" t="s">
        <v>20</v>
      </c>
      <c r="E78" s="5">
        <v>2</v>
      </c>
      <c r="F78" s="6">
        <v>45272</v>
      </c>
      <c r="G78" s="5">
        <v>39276</v>
      </c>
      <c r="H78" s="5">
        <v>78552</v>
      </c>
      <c r="I78" s="10">
        <v>6176.1979041606774</v>
      </c>
    </row>
    <row r="79" spans="1:9" x14ac:dyDescent="0.25">
      <c r="A79" s="9">
        <v>1078</v>
      </c>
      <c r="B79" s="5">
        <v>109</v>
      </c>
      <c r="C79" s="5" t="s">
        <v>9</v>
      </c>
      <c r="D79" s="5" t="s">
        <v>17</v>
      </c>
      <c r="E79" s="5">
        <v>5</v>
      </c>
      <c r="F79" s="6">
        <v>44972</v>
      </c>
      <c r="G79" s="5">
        <v>23978</v>
      </c>
      <c r="H79" s="5">
        <v>119890</v>
      </c>
      <c r="I79" s="10">
        <v>10899.07025501739</v>
      </c>
    </row>
    <row r="80" spans="1:9" x14ac:dyDescent="0.25">
      <c r="A80" s="9">
        <v>1079</v>
      </c>
      <c r="B80" s="5">
        <v>101</v>
      </c>
      <c r="C80" s="5" t="s">
        <v>9</v>
      </c>
      <c r="D80" s="5" t="s">
        <v>13</v>
      </c>
      <c r="E80" s="5">
        <v>5</v>
      </c>
      <c r="F80" s="6">
        <v>45472</v>
      </c>
      <c r="G80" s="5">
        <v>36970</v>
      </c>
      <c r="H80" s="5">
        <v>184850</v>
      </c>
      <c r="I80" s="10">
        <v>35641.449119807017</v>
      </c>
    </row>
    <row r="81" spans="1:9" x14ac:dyDescent="0.25">
      <c r="A81" s="9">
        <v>1080</v>
      </c>
      <c r="B81" s="5">
        <v>112</v>
      </c>
      <c r="C81" s="5" t="s">
        <v>9</v>
      </c>
      <c r="D81" s="5" t="s">
        <v>18</v>
      </c>
      <c r="E81" s="5">
        <v>6</v>
      </c>
      <c r="F81" s="6">
        <v>45004</v>
      </c>
      <c r="G81" s="5">
        <v>34365</v>
      </c>
      <c r="H81" s="5">
        <v>206190</v>
      </c>
      <c r="I81" s="10">
        <v>30680.308566302519</v>
      </c>
    </row>
    <row r="82" spans="1:9" x14ac:dyDescent="0.25">
      <c r="A82" s="9">
        <v>1081</v>
      </c>
      <c r="B82" s="5">
        <v>108</v>
      </c>
      <c r="C82" s="5" t="s">
        <v>10</v>
      </c>
      <c r="D82" s="5" t="s">
        <v>13</v>
      </c>
      <c r="E82" s="5">
        <v>3</v>
      </c>
      <c r="F82" s="6">
        <v>45656</v>
      </c>
      <c r="G82" s="5">
        <v>30446</v>
      </c>
      <c r="H82" s="5">
        <v>91338</v>
      </c>
      <c r="I82" s="10">
        <v>18352.275657583868</v>
      </c>
    </row>
    <row r="83" spans="1:9" x14ac:dyDescent="0.25">
      <c r="A83" s="9">
        <v>1082</v>
      </c>
      <c r="B83" s="5">
        <v>111</v>
      </c>
      <c r="C83" s="5" t="s">
        <v>11</v>
      </c>
      <c r="D83" s="5" t="s">
        <v>16</v>
      </c>
      <c r="E83" s="5">
        <v>8</v>
      </c>
      <c r="F83" s="6">
        <v>44999</v>
      </c>
      <c r="G83" s="5">
        <v>14664</v>
      </c>
      <c r="H83" s="5">
        <v>117312</v>
      </c>
      <c r="I83" s="10">
        <v>8280.2570797314293</v>
      </c>
    </row>
    <row r="84" spans="1:9" x14ac:dyDescent="0.25">
      <c r="A84" s="9">
        <v>1083</v>
      </c>
      <c r="B84" s="5">
        <v>119</v>
      </c>
      <c r="C84" s="5" t="s">
        <v>12</v>
      </c>
      <c r="D84" s="5" t="s">
        <v>13</v>
      </c>
      <c r="E84" s="5">
        <v>1</v>
      </c>
      <c r="F84" s="6">
        <v>45175</v>
      </c>
      <c r="G84" s="5">
        <v>18864</v>
      </c>
      <c r="H84" s="5">
        <v>18864</v>
      </c>
      <c r="I84" s="10">
        <v>2967.2368428810792</v>
      </c>
    </row>
    <row r="85" spans="1:9" x14ac:dyDescent="0.25">
      <c r="A85" s="9">
        <v>1084</v>
      </c>
      <c r="B85" s="5">
        <v>117</v>
      </c>
      <c r="C85" s="5" t="s">
        <v>12</v>
      </c>
      <c r="D85" s="5" t="s">
        <v>16</v>
      </c>
      <c r="E85" s="5">
        <v>6</v>
      </c>
      <c r="F85" s="6">
        <v>44973</v>
      </c>
      <c r="G85" s="5">
        <v>3922</v>
      </c>
      <c r="H85" s="5">
        <v>23532</v>
      </c>
      <c r="I85" s="10">
        <v>2959.485816137068</v>
      </c>
    </row>
    <row r="86" spans="1:9" x14ac:dyDescent="0.25">
      <c r="A86" s="9">
        <v>1085</v>
      </c>
      <c r="B86" s="5">
        <v>108</v>
      </c>
      <c r="C86" s="5" t="s">
        <v>11</v>
      </c>
      <c r="D86" s="5" t="s">
        <v>19</v>
      </c>
      <c r="E86" s="5">
        <v>4</v>
      </c>
      <c r="F86" s="6">
        <v>45047</v>
      </c>
      <c r="G86" s="5">
        <v>30446</v>
      </c>
      <c r="H86" s="5">
        <v>121784</v>
      </c>
      <c r="I86" s="10">
        <v>17220.262940999979</v>
      </c>
    </row>
    <row r="87" spans="1:9" x14ac:dyDescent="0.25">
      <c r="A87" s="9">
        <v>1086</v>
      </c>
      <c r="B87" s="5">
        <v>103</v>
      </c>
      <c r="C87" s="5" t="s">
        <v>12</v>
      </c>
      <c r="D87" s="5" t="s">
        <v>18</v>
      </c>
      <c r="E87" s="5">
        <v>1</v>
      </c>
      <c r="F87" s="6">
        <v>45140</v>
      </c>
      <c r="G87" s="5">
        <v>21175</v>
      </c>
      <c r="H87" s="5">
        <v>21175</v>
      </c>
      <c r="I87" s="10">
        <v>3616.5115882270902</v>
      </c>
    </row>
    <row r="88" spans="1:9" x14ac:dyDescent="0.25">
      <c r="A88" s="9">
        <v>1087</v>
      </c>
      <c r="B88" s="5">
        <v>103</v>
      </c>
      <c r="C88" s="5" t="s">
        <v>11</v>
      </c>
      <c r="D88" s="5" t="s">
        <v>18</v>
      </c>
      <c r="E88" s="5">
        <v>7</v>
      </c>
      <c r="F88" s="6">
        <v>45165</v>
      </c>
      <c r="G88" s="5">
        <v>21175</v>
      </c>
      <c r="H88" s="5">
        <v>148225</v>
      </c>
      <c r="I88" s="10">
        <v>22301.588060526708</v>
      </c>
    </row>
    <row r="89" spans="1:9" x14ac:dyDescent="0.25">
      <c r="A89" s="9">
        <v>1088</v>
      </c>
      <c r="B89" s="5">
        <v>101</v>
      </c>
      <c r="C89" s="5" t="s">
        <v>12</v>
      </c>
      <c r="D89" s="5" t="s">
        <v>14</v>
      </c>
      <c r="E89" s="5">
        <v>9</v>
      </c>
      <c r="F89" s="6">
        <v>44982</v>
      </c>
      <c r="G89" s="5">
        <v>36970</v>
      </c>
      <c r="H89" s="5">
        <v>332730</v>
      </c>
      <c r="I89" s="10">
        <v>52562.065957310828</v>
      </c>
    </row>
    <row r="90" spans="1:9" x14ac:dyDescent="0.25">
      <c r="A90" s="9">
        <v>1089</v>
      </c>
      <c r="B90" s="5">
        <v>105</v>
      </c>
      <c r="C90" s="5" t="s">
        <v>9</v>
      </c>
      <c r="D90" s="5" t="s">
        <v>17</v>
      </c>
      <c r="E90" s="5">
        <v>4</v>
      </c>
      <c r="F90" s="6">
        <v>45276</v>
      </c>
      <c r="G90" s="5">
        <v>18639</v>
      </c>
      <c r="H90" s="5">
        <v>74556</v>
      </c>
      <c r="I90" s="10">
        <v>10979.97368553291</v>
      </c>
    </row>
    <row r="91" spans="1:9" x14ac:dyDescent="0.25">
      <c r="A91" s="9">
        <v>1090</v>
      </c>
      <c r="B91" s="5">
        <v>110</v>
      </c>
      <c r="C91" s="5" t="s">
        <v>12</v>
      </c>
      <c r="D91" s="5" t="s">
        <v>16</v>
      </c>
      <c r="E91" s="5">
        <v>4</v>
      </c>
      <c r="F91" s="6">
        <v>45033</v>
      </c>
      <c r="G91" s="5">
        <v>35299</v>
      </c>
      <c r="H91" s="5">
        <v>141196</v>
      </c>
      <c r="I91" s="10">
        <v>18608.367036752661</v>
      </c>
    </row>
    <row r="92" spans="1:9" x14ac:dyDescent="0.25">
      <c r="A92" s="9">
        <v>1091</v>
      </c>
      <c r="B92" s="5">
        <v>107</v>
      </c>
      <c r="C92" s="5" t="s">
        <v>11</v>
      </c>
      <c r="D92" s="5" t="s">
        <v>14</v>
      </c>
      <c r="E92" s="5">
        <v>6</v>
      </c>
      <c r="F92" s="6">
        <v>44974</v>
      </c>
      <c r="G92" s="5">
        <v>39276</v>
      </c>
      <c r="H92" s="5">
        <v>235656</v>
      </c>
      <c r="I92" s="10">
        <v>48162.524003972008</v>
      </c>
    </row>
    <row r="93" spans="1:9" x14ac:dyDescent="0.25">
      <c r="A93" s="9">
        <v>1092</v>
      </c>
      <c r="B93" s="5">
        <v>109</v>
      </c>
      <c r="C93" s="5" t="s">
        <v>11</v>
      </c>
      <c r="D93" s="5" t="s">
        <v>13</v>
      </c>
      <c r="E93" s="5">
        <v>3</v>
      </c>
      <c r="F93" s="6">
        <v>45499</v>
      </c>
      <c r="G93" s="5">
        <v>23978</v>
      </c>
      <c r="H93" s="5">
        <v>71934</v>
      </c>
      <c r="I93" s="10">
        <v>3772.2631608252432</v>
      </c>
    </row>
    <row r="94" spans="1:9" x14ac:dyDescent="0.25">
      <c r="A94" s="9">
        <v>1093</v>
      </c>
      <c r="B94" s="5">
        <v>107</v>
      </c>
      <c r="C94" s="5" t="s">
        <v>11</v>
      </c>
      <c r="D94" s="5" t="s">
        <v>13</v>
      </c>
      <c r="E94" s="5">
        <v>6</v>
      </c>
      <c r="F94" s="6">
        <v>45263</v>
      </c>
      <c r="G94" s="5">
        <v>39276</v>
      </c>
      <c r="H94" s="5">
        <v>235656</v>
      </c>
      <c r="I94" s="10">
        <v>39988.122639043802</v>
      </c>
    </row>
    <row r="95" spans="1:9" x14ac:dyDescent="0.25">
      <c r="A95" s="9">
        <v>1094</v>
      </c>
      <c r="B95" s="5">
        <v>109</v>
      </c>
      <c r="C95" s="5" t="s">
        <v>11</v>
      </c>
      <c r="D95" s="5" t="s">
        <v>14</v>
      </c>
      <c r="E95" s="5">
        <v>7</v>
      </c>
      <c r="F95" s="6">
        <v>44952</v>
      </c>
      <c r="G95" s="5">
        <v>23978</v>
      </c>
      <c r="H95" s="5">
        <v>167846</v>
      </c>
      <c r="I95" s="10">
        <v>27375.962812954371</v>
      </c>
    </row>
    <row r="96" spans="1:9" x14ac:dyDescent="0.25">
      <c r="A96" s="9">
        <v>1095</v>
      </c>
      <c r="B96" s="5">
        <v>108</v>
      </c>
      <c r="C96" s="5" t="s">
        <v>11</v>
      </c>
      <c r="D96" s="5" t="s">
        <v>18</v>
      </c>
      <c r="E96" s="5">
        <v>3</v>
      </c>
      <c r="F96" s="6">
        <v>45183</v>
      </c>
      <c r="G96" s="5">
        <v>30446</v>
      </c>
      <c r="H96" s="5">
        <v>91338</v>
      </c>
      <c r="I96" s="10">
        <v>17649.77286559168</v>
      </c>
    </row>
    <row r="97" spans="1:9" x14ac:dyDescent="0.25">
      <c r="A97" s="9">
        <v>1096</v>
      </c>
      <c r="B97" s="5">
        <v>112</v>
      </c>
      <c r="C97" s="5" t="s">
        <v>10</v>
      </c>
      <c r="D97" s="5" t="s">
        <v>13</v>
      </c>
      <c r="E97" s="5">
        <v>7</v>
      </c>
      <c r="F97" s="6">
        <v>44934</v>
      </c>
      <c r="G97" s="5">
        <v>34365</v>
      </c>
      <c r="H97" s="5">
        <v>240555</v>
      </c>
      <c r="I97" s="10">
        <v>40847.651768801952</v>
      </c>
    </row>
    <row r="98" spans="1:9" x14ac:dyDescent="0.25">
      <c r="A98" s="9">
        <v>1097</v>
      </c>
      <c r="B98" s="5">
        <v>102</v>
      </c>
      <c r="C98" s="5" t="s">
        <v>10</v>
      </c>
      <c r="D98" s="5" t="s">
        <v>15</v>
      </c>
      <c r="E98" s="5">
        <v>3</v>
      </c>
      <c r="F98" s="6">
        <v>45551</v>
      </c>
      <c r="G98" s="5">
        <v>20365</v>
      </c>
      <c r="H98" s="5">
        <v>61095</v>
      </c>
      <c r="I98" s="10">
        <v>13157.40487699913</v>
      </c>
    </row>
    <row r="99" spans="1:9" x14ac:dyDescent="0.25">
      <c r="A99" s="9">
        <v>1098</v>
      </c>
      <c r="B99" s="5">
        <v>101</v>
      </c>
      <c r="C99" s="5" t="s">
        <v>12</v>
      </c>
      <c r="D99" s="5" t="s">
        <v>19</v>
      </c>
      <c r="E99" s="5">
        <v>2</v>
      </c>
      <c r="F99" s="6">
        <v>45179</v>
      </c>
      <c r="G99" s="5">
        <v>36970</v>
      </c>
      <c r="H99" s="5">
        <v>73940</v>
      </c>
      <c r="I99" s="10">
        <v>17879.79806201284</v>
      </c>
    </row>
    <row r="100" spans="1:9" x14ac:dyDescent="0.25">
      <c r="A100" s="9">
        <v>1099</v>
      </c>
      <c r="B100" s="5">
        <v>116</v>
      </c>
      <c r="C100" s="5" t="s">
        <v>11</v>
      </c>
      <c r="D100" s="5" t="s">
        <v>19</v>
      </c>
      <c r="E100" s="5">
        <v>4</v>
      </c>
      <c r="F100" s="6">
        <v>45618</v>
      </c>
      <c r="G100" s="5">
        <v>26393</v>
      </c>
      <c r="H100" s="5">
        <v>105572</v>
      </c>
      <c r="I100" s="10">
        <v>12510.794175770639</v>
      </c>
    </row>
    <row r="101" spans="1:9" x14ac:dyDescent="0.25">
      <c r="A101" s="9">
        <v>1100</v>
      </c>
      <c r="B101" s="5">
        <v>105</v>
      </c>
      <c r="C101" s="5" t="s">
        <v>12</v>
      </c>
      <c r="D101" s="5" t="s">
        <v>15</v>
      </c>
      <c r="E101" s="5">
        <v>8</v>
      </c>
      <c r="F101" s="6">
        <v>45645</v>
      </c>
      <c r="G101" s="5">
        <v>18639</v>
      </c>
      <c r="H101" s="5">
        <v>149112</v>
      </c>
      <c r="I101" s="10">
        <v>14235.75195631349</v>
      </c>
    </row>
    <row r="102" spans="1:9" x14ac:dyDescent="0.25">
      <c r="A102" s="9">
        <v>1101</v>
      </c>
      <c r="B102" s="5">
        <v>103</v>
      </c>
      <c r="C102" s="5" t="s">
        <v>11</v>
      </c>
      <c r="D102" s="5" t="s">
        <v>14</v>
      </c>
      <c r="E102" s="5">
        <v>9</v>
      </c>
      <c r="F102" s="6">
        <v>45229</v>
      </c>
      <c r="G102" s="5">
        <v>21175</v>
      </c>
      <c r="H102" s="5">
        <v>190575</v>
      </c>
      <c r="I102" s="10">
        <v>25674.144411156711</v>
      </c>
    </row>
    <row r="103" spans="1:9" x14ac:dyDescent="0.25">
      <c r="A103" s="9">
        <v>1102</v>
      </c>
      <c r="B103" s="5">
        <v>112</v>
      </c>
      <c r="C103" s="5" t="s">
        <v>11</v>
      </c>
      <c r="D103" s="5" t="s">
        <v>15</v>
      </c>
      <c r="E103" s="5">
        <v>7</v>
      </c>
      <c r="F103" s="6">
        <v>45565</v>
      </c>
      <c r="G103" s="5">
        <v>34365</v>
      </c>
      <c r="H103" s="5">
        <v>240555</v>
      </c>
      <c r="I103" s="10">
        <v>25880.331778263659</v>
      </c>
    </row>
    <row r="104" spans="1:9" x14ac:dyDescent="0.25">
      <c r="A104" s="9">
        <v>1103</v>
      </c>
      <c r="B104" s="5">
        <v>108</v>
      </c>
      <c r="C104" s="5" t="s">
        <v>10</v>
      </c>
      <c r="D104" s="5" t="s">
        <v>16</v>
      </c>
      <c r="E104" s="5">
        <v>1</v>
      </c>
      <c r="F104" s="6">
        <v>44982</v>
      </c>
      <c r="G104" s="5">
        <v>30446</v>
      </c>
      <c r="H104" s="5">
        <v>30446</v>
      </c>
      <c r="I104" s="10">
        <v>5266.855142389144</v>
      </c>
    </row>
    <row r="105" spans="1:9" x14ac:dyDescent="0.25">
      <c r="A105" s="9">
        <v>1104</v>
      </c>
      <c r="B105" s="5">
        <v>103</v>
      </c>
      <c r="C105" s="5" t="s">
        <v>10</v>
      </c>
      <c r="D105" s="5" t="s">
        <v>16</v>
      </c>
      <c r="E105" s="5">
        <v>3</v>
      </c>
      <c r="F105" s="6">
        <v>45652</v>
      </c>
      <c r="G105" s="5">
        <v>21175</v>
      </c>
      <c r="H105" s="5">
        <v>63525</v>
      </c>
      <c r="I105" s="10">
        <v>14761.334854349871</v>
      </c>
    </row>
    <row r="106" spans="1:9" x14ac:dyDescent="0.25">
      <c r="A106" s="9">
        <v>1105</v>
      </c>
      <c r="B106" s="5">
        <v>101</v>
      </c>
      <c r="C106" s="5" t="s">
        <v>9</v>
      </c>
      <c r="D106" s="5" t="s">
        <v>14</v>
      </c>
      <c r="E106" s="5">
        <v>9</v>
      </c>
      <c r="F106" s="6">
        <v>45452</v>
      </c>
      <c r="G106" s="5">
        <v>36970</v>
      </c>
      <c r="H106" s="5">
        <v>332730</v>
      </c>
      <c r="I106" s="10">
        <v>25894.1262554442</v>
      </c>
    </row>
    <row r="107" spans="1:9" x14ac:dyDescent="0.25">
      <c r="A107" s="9">
        <v>1106</v>
      </c>
      <c r="B107" s="5">
        <v>103</v>
      </c>
      <c r="C107" s="5" t="s">
        <v>10</v>
      </c>
      <c r="D107" s="5" t="s">
        <v>15</v>
      </c>
      <c r="E107" s="5">
        <v>1</v>
      </c>
      <c r="F107" s="6">
        <v>45400</v>
      </c>
      <c r="G107" s="5">
        <v>21175</v>
      </c>
      <c r="H107" s="5">
        <v>21175</v>
      </c>
      <c r="I107" s="10">
        <v>1485.615143772279</v>
      </c>
    </row>
    <row r="108" spans="1:9" x14ac:dyDescent="0.25">
      <c r="A108" s="9">
        <v>1107</v>
      </c>
      <c r="B108" s="5">
        <v>105</v>
      </c>
      <c r="C108" s="5" t="s">
        <v>9</v>
      </c>
      <c r="D108" s="5" t="s">
        <v>16</v>
      </c>
      <c r="E108" s="5">
        <v>9</v>
      </c>
      <c r="F108" s="6">
        <v>44954</v>
      </c>
      <c r="G108" s="5">
        <v>18639</v>
      </c>
      <c r="H108" s="5">
        <v>167751</v>
      </c>
      <c r="I108" s="10">
        <v>16976.92229679674</v>
      </c>
    </row>
    <row r="109" spans="1:9" x14ac:dyDescent="0.25">
      <c r="A109" s="9">
        <v>1108</v>
      </c>
      <c r="B109" s="5">
        <v>115</v>
      </c>
      <c r="C109" s="5" t="s">
        <v>9</v>
      </c>
      <c r="D109" s="5" t="s">
        <v>18</v>
      </c>
      <c r="E109" s="5">
        <v>8</v>
      </c>
      <c r="F109" s="6">
        <v>45004</v>
      </c>
      <c r="G109" s="5">
        <v>45111</v>
      </c>
      <c r="H109" s="5">
        <v>360888</v>
      </c>
      <c r="I109" s="10">
        <v>70452.23677257754</v>
      </c>
    </row>
    <row r="110" spans="1:9" x14ac:dyDescent="0.25">
      <c r="A110" s="9">
        <v>1109</v>
      </c>
      <c r="B110" s="5">
        <v>114</v>
      </c>
      <c r="C110" s="5" t="s">
        <v>9</v>
      </c>
      <c r="D110" s="5" t="s">
        <v>15</v>
      </c>
      <c r="E110" s="5">
        <v>1</v>
      </c>
      <c r="F110" s="6">
        <v>45142</v>
      </c>
      <c r="G110" s="5">
        <v>4485</v>
      </c>
      <c r="H110" s="5">
        <v>4485</v>
      </c>
      <c r="I110" s="10">
        <v>756.137726017163</v>
      </c>
    </row>
    <row r="111" spans="1:9" x14ac:dyDescent="0.25">
      <c r="A111" s="9">
        <v>1110</v>
      </c>
      <c r="B111" s="5">
        <v>103</v>
      </c>
      <c r="C111" s="5" t="s">
        <v>9</v>
      </c>
      <c r="D111" s="5" t="s">
        <v>18</v>
      </c>
      <c r="E111" s="5">
        <v>6</v>
      </c>
      <c r="F111" s="6">
        <v>45312</v>
      </c>
      <c r="G111" s="5">
        <v>21175</v>
      </c>
      <c r="H111" s="5">
        <v>127050</v>
      </c>
      <c r="I111" s="10">
        <v>8949.7237979623224</v>
      </c>
    </row>
    <row r="112" spans="1:9" x14ac:dyDescent="0.25">
      <c r="A112" s="9">
        <v>1111</v>
      </c>
      <c r="B112" s="5">
        <v>101</v>
      </c>
      <c r="C112" s="5" t="s">
        <v>9</v>
      </c>
      <c r="D112" s="5" t="s">
        <v>16</v>
      </c>
      <c r="E112" s="5">
        <v>5</v>
      </c>
      <c r="F112" s="6">
        <v>45291</v>
      </c>
      <c r="G112" s="5">
        <v>36970</v>
      </c>
      <c r="H112" s="5">
        <v>184850</v>
      </c>
      <c r="I112" s="10">
        <v>43208.706807979797</v>
      </c>
    </row>
    <row r="113" spans="1:9" x14ac:dyDescent="0.25">
      <c r="A113" s="9">
        <v>1112</v>
      </c>
      <c r="B113" s="5">
        <v>105</v>
      </c>
      <c r="C113" s="5" t="s">
        <v>12</v>
      </c>
      <c r="D113" s="5" t="s">
        <v>19</v>
      </c>
      <c r="E113" s="5">
        <v>6</v>
      </c>
      <c r="F113" s="6">
        <v>45592</v>
      </c>
      <c r="G113" s="5">
        <v>18639</v>
      </c>
      <c r="H113" s="5">
        <v>111834</v>
      </c>
      <c r="I113" s="10">
        <v>23263.365061627021</v>
      </c>
    </row>
    <row r="114" spans="1:9" x14ac:dyDescent="0.25">
      <c r="A114" s="9">
        <v>1113</v>
      </c>
      <c r="B114" s="5">
        <v>114</v>
      </c>
      <c r="C114" s="5" t="s">
        <v>10</v>
      </c>
      <c r="D114" s="5" t="s">
        <v>16</v>
      </c>
      <c r="E114" s="5">
        <v>5</v>
      </c>
      <c r="F114" s="6">
        <v>45452</v>
      </c>
      <c r="G114" s="5">
        <v>4485</v>
      </c>
      <c r="H114" s="5">
        <v>22425</v>
      </c>
      <c r="I114" s="10">
        <v>1224.5063824725539</v>
      </c>
    </row>
    <row r="115" spans="1:9" x14ac:dyDescent="0.25">
      <c r="A115" s="9">
        <v>1114</v>
      </c>
      <c r="B115" s="5">
        <v>107</v>
      </c>
      <c r="C115" s="5" t="s">
        <v>9</v>
      </c>
      <c r="D115" s="5" t="s">
        <v>18</v>
      </c>
      <c r="E115" s="5">
        <v>6</v>
      </c>
      <c r="F115" s="6">
        <v>45625</v>
      </c>
      <c r="G115" s="5">
        <v>39276</v>
      </c>
      <c r="H115" s="5">
        <v>235656</v>
      </c>
      <c r="I115" s="10">
        <v>42482.518294529233</v>
      </c>
    </row>
    <row r="116" spans="1:9" x14ac:dyDescent="0.25">
      <c r="A116" s="9">
        <v>1115</v>
      </c>
      <c r="B116" s="5">
        <v>109</v>
      </c>
      <c r="C116" s="5" t="s">
        <v>11</v>
      </c>
      <c r="D116" s="5" t="s">
        <v>20</v>
      </c>
      <c r="E116" s="5">
        <v>5</v>
      </c>
      <c r="F116" s="6">
        <v>45238</v>
      </c>
      <c r="G116" s="5">
        <v>23978</v>
      </c>
      <c r="H116" s="5">
        <v>119890</v>
      </c>
      <c r="I116" s="10">
        <v>24487.452617766281</v>
      </c>
    </row>
    <row r="117" spans="1:9" x14ac:dyDescent="0.25">
      <c r="A117" s="9">
        <v>1116</v>
      </c>
      <c r="B117" s="5">
        <v>115</v>
      </c>
      <c r="C117" s="5" t="s">
        <v>10</v>
      </c>
      <c r="D117" s="5" t="s">
        <v>17</v>
      </c>
      <c r="E117" s="5">
        <v>5</v>
      </c>
      <c r="F117" s="6">
        <v>44933</v>
      </c>
      <c r="G117" s="5">
        <v>45111</v>
      </c>
      <c r="H117" s="5">
        <v>225555</v>
      </c>
      <c r="I117" s="10">
        <v>28168.90396345796</v>
      </c>
    </row>
    <row r="118" spans="1:9" x14ac:dyDescent="0.25">
      <c r="A118" s="9">
        <v>1117</v>
      </c>
      <c r="B118" s="5">
        <v>115</v>
      </c>
      <c r="C118" s="5" t="s">
        <v>10</v>
      </c>
      <c r="D118" s="5" t="s">
        <v>13</v>
      </c>
      <c r="E118" s="5">
        <v>4</v>
      </c>
      <c r="F118" s="6">
        <v>44929</v>
      </c>
      <c r="G118" s="5">
        <v>45111</v>
      </c>
      <c r="H118" s="5">
        <v>180444</v>
      </c>
      <c r="I118" s="10">
        <v>11509.495649915691</v>
      </c>
    </row>
    <row r="119" spans="1:9" x14ac:dyDescent="0.25">
      <c r="A119" s="9">
        <v>1118</v>
      </c>
      <c r="B119" s="5">
        <v>110</v>
      </c>
      <c r="C119" s="5" t="s">
        <v>9</v>
      </c>
      <c r="D119" s="5" t="s">
        <v>15</v>
      </c>
      <c r="E119" s="5">
        <v>3</v>
      </c>
      <c r="F119" s="6">
        <v>45549</v>
      </c>
      <c r="G119" s="5">
        <v>35299</v>
      </c>
      <c r="H119" s="5">
        <v>105897</v>
      </c>
      <c r="I119" s="10">
        <v>6932.4637744132224</v>
      </c>
    </row>
    <row r="120" spans="1:9" x14ac:dyDescent="0.25">
      <c r="A120" s="9">
        <v>1119</v>
      </c>
      <c r="B120" s="5">
        <v>113</v>
      </c>
      <c r="C120" s="5" t="s">
        <v>12</v>
      </c>
      <c r="D120" s="5" t="s">
        <v>20</v>
      </c>
      <c r="E120" s="5">
        <v>3</v>
      </c>
      <c r="F120" s="6">
        <v>45289</v>
      </c>
      <c r="G120" s="5">
        <v>4587</v>
      </c>
      <c r="H120" s="5">
        <v>13761</v>
      </c>
      <c r="I120" s="10">
        <v>974.9584999677902</v>
      </c>
    </row>
    <row r="121" spans="1:9" x14ac:dyDescent="0.25">
      <c r="A121" s="9">
        <v>1120</v>
      </c>
      <c r="B121" s="5">
        <v>119</v>
      </c>
      <c r="C121" s="5" t="s">
        <v>9</v>
      </c>
      <c r="D121" s="5" t="s">
        <v>16</v>
      </c>
      <c r="E121" s="5">
        <v>4</v>
      </c>
      <c r="F121" s="6">
        <v>45434</v>
      </c>
      <c r="G121" s="5">
        <v>18864</v>
      </c>
      <c r="H121" s="5">
        <v>75456</v>
      </c>
      <c r="I121" s="10">
        <v>16456.042574142961</v>
      </c>
    </row>
    <row r="122" spans="1:9" x14ac:dyDescent="0.25">
      <c r="A122" s="9">
        <v>1121</v>
      </c>
      <c r="B122" s="5">
        <v>107</v>
      </c>
      <c r="C122" s="5" t="s">
        <v>12</v>
      </c>
      <c r="D122" s="5" t="s">
        <v>19</v>
      </c>
      <c r="E122" s="5">
        <v>9</v>
      </c>
      <c r="F122" s="6">
        <v>45200</v>
      </c>
      <c r="G122" s="5">
        <v>39276</v>
      </c>
      <c r="H122" s="5">
        <v>353484</v>
      </c>
      <c r="I122" s="10">
        <v>82056.800020844501</v>
      </c>
    </row>
    <row r="123" spans="1:9" x14ac:dyDescent="0.25">
      <c r="A123" s="9">
        <v>1122</v>
      </c>
      <c r="B123" s="5">
        <v>117</v>
      </c>
      <c r="C123" s="5" t="s">
        <v>11</v>
      </c>
      <c r="D123" s="5" t="s">
        <v>14</v>
      </c>
      <c r="E123" s="5">
        <v>2</v>
      </c>
      <c r="F123" s="6">
        <v>45432</v>
      </c>
      <c r="G123" s="5">
        <v>3922</v>
      </c>
      <c r="H123" s="5">
        <v>7844</v>
      </c>
      <c r="I123" s="10">
        <v>584.86555455958717</v>
      </c>
    </row>
    <row r="124" spans="1:9" x14ac:dyDescent="0.25">
      <c r="A124" s="9">
        <v>1123</v>
      </c>
      <c r="B124" s="5">
        <v>120</v>
      </c>
      <c r="C124" s="5" t="s">
        <v>10</v>
      </c>
      <c r="D124" s="5" t="s">
        <v>16</v>
      </c>
      <c r="E124" s="5">
        <v>9</v>
      </c>
      <c r="F124" s="6">
        <v>44941</v>
      </c>
      <c r="G124" s="5">
        <v>39145</v>
      </c>
      <c r="H124" s="5">
        <v>352305</v>
      </c>
      <c r="I124" s="10">
        <v>34237.425103604022</v>
      </c>
    </row>
    <row r="125" spans="1:9" x14ac:dyDescent="0.25">
      <c r="A125" s="9">
        <v>1124</v>
      </c>
      <c r="B125" s="5">
        <v>104</v>
      </c>
      <c r="C125" s="5" t="s">
        <v>11</v>
      </c>
      <c r="D125" s="5" t="s">
        <v>19</v>
      </c>
      <c r="E125" s="5">
        <v>1</v>
      </c>
      <c r="F125" s="6">
        <v>45118</v>
      </c>
      <c r="G125" s="5">
        <v>42430</v>
      </c>
      <c r="H125" s="5">
        <v>42430</v>
      </c>
      <c r="I125" s="10">
        <v>3526.107050976821</v>
      </c>
    </row>
    <row r="126" spans="1:9" x14ac:dyDescent="0.25">
      <c r="A126" s="9">
        <v>1125</v>
      </c>
      <c r="B126" s="5">
        <v>105</v>
      </c>
      <c r="C126" s="5" t="s">
        <v>12</v>
      </c>
      <c r="D126" s="5" t="s">
        <v>17</v>
      </c>
      <c r="E126" s="5">
        <v>1</v>
      </c>
      <c r="F126" s="6">
        <v>45557</v>
      </c>
      <c r="G126" s="5">
        <v>18639</v>
      </c>
      <c r="H126" s="5">
        <v>18639</v>
      </c>
      <c r="I126" s="10">
        <v>1626.516974578183</v>
      </c>
    </row>
    <row r="127" spans="1:9" x14ac:dyDescent="0.25">
      <c r="A127" s="9">
        <v>1126</v>
      </c>
      <c r="B127" s="5">
        <v>107</v>
      </c>
      <c r="C127" s="5" t="s">
        <v>12</v>
      </c>
      <c r="D127" s="5" t="s">
        <v>16</v>
      </c>
      <c r="E127" s="5">
        <v>5</v>
      </c>
      <c r="F127" s="6">
        <v>45411</v>
      </c>
      <c r="G127" s="5">
        <v>39276</v>
      </c>
      <c r="H127" s="5">
        <v>196380</v>
      </c>
      <c r="I127" s="10">
        <v>42712.288228861878</v>
      </c>
    </row>
    <row r="128" spans="1:9" x14ac:dyDescent="0.25">
      <c r="A128" s="9">
        <v>1127</v>
      </c>
      <c r="B128" s="5">
        <v>113</v>
      </c>
      <c r="C128" s="5" t="s">
        <v>11</v>
      </c>
      <c r="D128" s="5" t="s">
        <v>18</v>
      </c>
      <c r="E128" s="5">
        <v>6</v>
      </c>
      <c r="F128" s="6">
        <v>44954</v>
      </c>
      <c r="G128" s="5">
        <v>4587</v>
      </c>
      <c r="H128" s="5">
        <v>27522</v>
      </c>
      <c r="I128" s="10">
        <v>3204.3667138178462</v>
      </c>
    </row>
    <row r="129" spans="1:9" x14ac:dyDescent="0.25">
      <c r="A129" s="9">
        <v>1128</v>
      </c>
      <c r="B129" s="5">
        <v>115</v>
      </c>
      <c r="C129" s="5" t="s">
        <v>12</v>
      </c>
      <c r="D129" s="5" t="s">
        <v>14</v>
      </c>
      <c r="E129" s="5">
        <v>6</v>
      </c>
      <c r="F129" s="6">
        <v>45640</v>
      </c>
      <c r="G129" s="5">
        <v>45111</v>
      </c>
      <c r="H129" s="5">
        <v>270666</v>
      </c>
      <c r="I129" s="10">
        <v>30392.774634435511</v>
      </c>
    </row>
    <row r="130" spans="1:9" x14ac:dyDescent="0.25">
      <c r="A130" s="9">
        <v>1129</v>
      </c>
      <c r="B130" s="5">
        <v>111</v>
      </c>
      <c r="C130" s="5" t="s">
        <v>11</v>
      </c>
      <c r="D130" s="5" t="s">
        <v>19</v>
      </c>
      <c r="E130" s="5">
        <v>3</v>
      </c>
      <c r="F130" s="6">
        <v>44965</v>
      </c>
      <c r="G130" s="5">
        <v>14664</v>
      </c>
      <c r="H130" s="5">
        <v>43992</v>
      </c>
      <c r="I130" s="10">
        <v>4200.3176307251879</v>
      </c>
    </row>
    <row r="131" spans="1:9" x14ac:dyDescent="0.25">
      <c r="A131" s="9">
        <v>1130</v>
      </c>
      <c r="B131" s="5">
        <v>104</v>
      </c>
      <c r="C131" s="5" t="s">
        <v>10</v>
      </c>
      <c r="D131" s="5" t="s">
        <v>19</v>
      </c>
      <c r="E131" s="5">
        <v>7</v>
      </c>
      <c r="F131" s="6">
        <v>45199</v>
      </c>
      <c r="G131" s="5">
        <v>42430</v>
      </c>
      <c r="H131" s="5">
        <v>297010</v>
      </c>
      <c r="I131" s="10">
        <v>50960.642780166563</v>
      </c>
    </row>
    <row r="132" spans="1:9" x14ac:dyDescent="0.25">
      <c r="A132" s="9">
        <v>1131</v>
      </c>
      <c r="B132" s="5">
        <v>113</v>
      </c>
      <c r="C132" s="5" t="s">
        <v>11</v>
      </c>
      <c r="D132" s="5" t="s">
        <v>19</v>
      </c>
      <c r="E132" s="5">
        <v>9</v>
      </c>
      <c r="F132" s="6">
        <v>45157</v>
      </c>
      <c r="G132" s="5">
        <v>4587</v>
      </c>
      <c r="H132" s="5">
        <v>41283</v>
      </c>
      <c r="I132" s="10">
        <v>5195.9254292901223</v>
      </c>
    </row>
    <row r="133" spans="1:9" x14ac:dyDescent="0.25">
      <c r="A133" s="9">
        <v>1132</v>
      </c>
      <c r="B133" s="5">
        <v>107</v>
      </c>
      <c r="C133" s="5" t="s">
        <v>10</v>
      </c>
      <c r="D133" s="5" t="s">
        <v>17</v>
      </c>
      <c r="E133" s="5">
        <v>8</v>
      </c>
      <c r="F133" s="6">
        <v>45012</v>
      </c>
      <c r="G133" s="5">
        <v>39276</v>
      </c>
      <c r="H133" s="5">
        <v>314208</v>
      </c>
      <c r="I133" s="10">
        <v>62480.238921275217</v>
      </c>
    </row>
    <row r="134" spans="1:9" x14ac:dyDescent="0.25">
      <c r="A134" s="9">
        <v>1133</v>
      </c>
      <c r="B134" s="5">
        <v>119</v>
      </c>
      <c r="C134" s="5" t="s">
        <v>11</v>
      </c>
      <c r="D134" s="5" t="s">
        <v>16</v>
      </c>
      <c r="E134" s="5">
        <v>6</v>
      </c>
      <c r="F134" s="6">
        <v>45400</v>
      </c>
      <c r="G134" s="5">
        <v>18864</v>
      </c>
      <c r="H134" s="5">
        <v>113184</v>
      </c>
      <c r="I134" s="10">
        <v>10312.86900623763</v>
      </c>
    </row>
    <row r="135" spans="1:9" x14ac:dyDescent="0.25">
      <c r="A135" s="9">
        <v>1134</v>
      </c>
      <c r="B135" s="5">
        <v>102</v>
      </c>
      <c r="C135" s="5" t="s">
        <v>12</v>
      </c>
      <c r="D135" s="5" t="s">
        <v>17</v>
      </c>
      <c r="E135" s="5">
        <v>8</v>
      </c>
      <c r="F135" s="6">
        <v>45052</v>
      </c>
      <c r="G135" s="5">
        <v>20365</v>
      </c>
      <c r="H135" s="5">
        <v>162920</v>
      </c>
      <c r="I135" s="10">
        <v>33815.345733873022</v>
      </c>
    </row>
    <row r="136" spans="1:9" x14ac:dyDescent="0.25">
      <c r="A136" s="9">
        <v>1135</v>
      </c>
      <c r="B136" s="5">
        <v>110</v>
      </c>
      <c r="C136" s="5" t="s">
        <v>11</v>
      </c>
      <c r="D136" s="5" t="s">
        <v>15</v>
      </c>
      <c r="E136" s="5">
        <v>5</v>
      </c>
      <c r="F136" s="6">
        <v>45463</v>
      </c>
      <c r="G136" s="5">
        <v>35299</v>
      </c>
      <c r="H136" s="5">
        <v>176495</v>
      </c>
      <c r="I136" s="10">
        <v>30135.51634854218</v>
      </c>
    </row>
    <row r="137" spans="1:9" x14ac:dyDescent="0.25">
      <c r="A137" s="9">
        <v>1136</v>
      </c>
      <c r="B137" s="5">
        <v>113</v>
      </c>
      <c r="C137" s="5" t="s">
        <v>12</v>
      </c>
      <c r="D137" s="5" t="s">
        <v>13</v>
      </c>
      <c r="E137" s="5">
        <v>8</v>
      </c>
      <c r="F137" s="6">
        <v>45071</v>
      </c>
      <c r="G137" s="5">
        <v>4587</v>
      </c>
      <c r="H137" s="5">
        <v>36696</v>
      </c>
      <c r="I137" s="10">
        <v>2673.4305685687041</v>
      </c>
    </row>
    <row r="138" spans="1:9" x14ac:dyDescent="0.25">
      <c r="A138" s="9">
        <v>1137</v>
      </c>
      <c r="B138" s="5">
        <v>106</v>
      </c>
      <c r="C138" s="5" t="s">
        <v>11</v>
      </c>
      <c r="D138" s="5" t="s">
        <v>13</v>
      </c>
      <c r="E138" s="5">
        <v>4</v>
      </c>
      <c r="F138" s="6">
        <v>45451</v>
      </c>
      <c r="G138" s="5">
        <v>20269</v>
      </c>
      <c r="H138" s="5">
        <v>81076</v>
      </c>
      <c r="I138" s="10">
        <v>10775.07473377866</v>
      </c>
    </row>
    <row r="139" spans="1:9" x14ac:dyDescent="0.25">
      <c r="A139" s="9">
        <v>1138</v>
      </c>
      <c r="B139" s="5">
        <v>112</v>
      </c>
      <c r="C139" s="5" t="s">
        <v>11</v>
      </c>
      <c r="D139" s="5" t="s">
        <v>15</v>
      </c>
      <c r="E139" s="5">
        <v>8</v>
      </c>
      <c r="F139" s="6">
        <v>45138</v>
      </c>
      <c r="G139" s="5">
        <v>34365</v>
      </c>
      <c r="H139" s="5">
        <v>274920</v>
      </c>
      <c r="I139" s="10">
        <v>61225.681443462832</v>
      </c>
    </row>
    <row r="140" spans="1:9" x14ac:dyDescent="0.25">
      <c r="A140" s="9">
        <v>1139</v>
      </c>
      <c r="B140" s="5">
        <v>112</v>
      </c>
      <c r="C140" s="5" t="s">
        <v>9</v>
      </c>
      <c r="D140" s="5" t="s">
        <v>16</v>
      </c>
      <c r="E140" s="5">
        <v>2</v>
      </c>
      <c r="F140" s="6">
        <v>44951</v>
      </c>
      <c r="G140" s="5">
        <v>34365</v>
      </c>
      <c r="H140" s="5">
        <v>68730</v>
      </c>
      <c r="I140" s="10">
        <v>16123.511346301981</v>
      </c>
    </row>
    <row r="141" spans="1:9" x14ac:dyDescent="0.25">
      <c r="A141" s="9">
        <v>1140</v>
      </c>
      <c r="B141" s="5">
        <v>120</v>
      </c>
      <c r="C141" s="5" t="s">
        <v>12</v>
      </c>
      <c r="D141" s="5" t="s">
        <v>18</v>
      </c>
      <c r="E141" s="5">
        <v>5</v>
      </c>
      <c r="F141" s="6">
        <v>45506</v>
      </c>
      <c r="G141" s="5">
        <v>39145</v>
      </c>
      <c r="H141" s="5">
        <v>195725</v>
      </c>
      <c r="I141" s="10">
        <v>28016.081288169938</v>
      </c>
    </row>
    <row r="142" spans="1:9" x14ac:dyDescent="0.25">
      <c r="A142" s="9">
        <v>1141</v>
      </c>
      <c r="B142" s="5">
        <v>111</v>
      </c>
      <c r="C142" s="5" t="s">
        <v>9</v>
      </c>
      <c r="D142" s="5" t="s">
        <v>17</v>
      </c>
      <c r="E142" s="5">
        <v>9</v>
      </c>
      <c r="F142" s="6">
        <v>45320</v>
      </c>
      <c r="G142" s="5">
        <v>14664</v>
      </c>
      <c r="H142" s="5">
        <v>131976</v>
      </c>
      <c r="I142" s="10">
        <v>19290.588204056719</v>
      </c>
    </row>
    <row r="143" spans="1:9" x14ac:dyDescent="0.25">
      <c r="A143" s="9">
        <v>1142</v>
      </c>
      <c r="B143" s="5">
        <v>107</v>
      </c>
      <c r="C143" s="5" t="s">
        <v>12</v>
      </c>
      <c r="D143" s="5" t="s">
        <v>14</v>
      </c>
      <c r="E143" s="5">
        <v>4</v>
      </c>
      <c r="F143" s="6">
        <v>44993</v>
      </c>
      <c r="G143" s="5">
        <v>39276</v>
      </c>
      <c r="H143" s="5">
        <v>157104</v>
      </c>
      <c r="I143" s="10">
        <v>36713.7822213728</v>
      </c>
    </row>
    <row r="144" spans="1:9" x14ac:dyDescent="0.25">
      <c r="A144" s="9">
        <v>1143</v>
      </c>
      <c r="B144" s="5">
        <v>101</v>
      </c>
      <c r="C144" s="5" t="s">
        <v>9</v>
      </c>
      <c r="D144" s="5" t="s">
        <v>19</v>
      </c>
      <c r="E144" s="5">
        <v>6</v>
      </c>
      <c r="F144" s="6">
        <v>45159</v>
      </c>
      <c r="G144" s="5">
        <v>36970</v>
      </c>
      <c r="H144" s="5">
        <v>221820</v>
      </c>
      <c r="I144" s="10">
        <v>37135.694695594677</v>
      </c>
    </row>
    <row r="145" spans="1:9" x14ac:dyDescent="0.25">
      <c r="A145" s="9">
        <v>1144</v>
      </c>
      <c r="B145" s="5">
        <v>101</v>
      </c>
      <c r="C145" s="5" t="s">
        <v>10</v>
      </c>
      <c r="D145" s="5" t="s">
        <v>19</v>
      </c>
      <c r="E145" s="5">
        <v>1</v>
      </c>
      <c r="F145" s="6">
        <v>45035</v>
      </c>
      <c r="G145" s="5">
        <v>36970</v>
      </c>
      <c r="H145" s="5">
        <v>36970</v>
      </c>
      <c r="I145" s="10">
        <v>2091.3682797799829</v>
      </c>
    </row>
    <row r="146" spans="1:9" x14ac:dyDescent="0.25">
      <c r="A146" s="9">
        <v>1145</v>
      </c>
      <c r="B146" s="5">
        <v>120</v>
      </c>
      <c r="C146" s="5" t="s">
        <v>11</v>
      </c>
      <c r="D146" s="5" t="s">
        <v>16</v>
      </c>
      <c r="E146" s="5">
        <v>9</v>
      </c>
      <c r="F146" s="6">
        <v>45072</v>
      </c>
      <c r="G146" s="5">
        <v>39145</v>
      </c>
      <c r="H146" s="5">
        <v>352305</v>
      </c>
      <c r="I146" s="10">
        <v>81928.489903926296</v>
      </c>
    </row>
    <row r="147" spans="1:9" x14ac:dyDescent="0.25">
      <c r="A147" s="9">
        <v>1146</v>
      </c>
      <c r="B147" s="5">
        <v>113</v>
      </c>
      <c r="C147" s="5" t="s">
        <v>12</v>
      </c>
      <c r="D147" s="5" t="s">
        <v>18</v>
      </c>
      <c r="E147" s="5">
        <v>1</v>
      </c>
      <c r="F147" s="6">
        <v>45037</v>
      </c>
      <c r="G147" s="5">
        <v>4587</v>
      </c>
      <c r="H147" s="5">
        <v>4587</v>
      </c>
      <c r="I147" s="10">
        <v>457.07293858541118</v>
      </c>
    </row>
    <row r="148" spans="1:9" x14ac:dyDescent="0.25">
      <c r="A148" s="9">
        <v>1147</v>
      </c>
      <c r="B148" s="5">
        <v>109</v>
      </c>
      <c r="C148" s="5" t="s">
        <v>12</v>
      </c>
      <c r="D148" s="5" t="s">
        <v>13</v>
      </c>
      <c r="E148" s="5">
        <v>5</v>
      </c>
      <c r="F148" s="6">
        <v>45154</v>
      </c>
      <c r="G148" s="5">
        <v>23978</v>
      </c>
      <c r="H148" s="5">
        <v>119890</v>
      </c>
      <c r="I148" s="10">
        <v>19844.958995207118</v>
      </c>
    </row>
    <row r="149" spans="1:9" x14ac:dyDescent="0.25">
      <c r="A149" s="9">
        <v>1148</v>
      </c>
      <c r="B149" s="5">
        <v>103</v>
      </c>
      <c r="C149" s="5" t="s">
        <v>11</v>
      </c>
      <c r="D149" s="5" t="s">
        <v>13</v>
      </c>
      <c r="E149" s="5">
        <v>4</v>
      </c>
      <c r="F149" s="6">
        <v>45037</v>
      </c>
      <c r="G149" s="5">
        <v>21175</v>
      </c>
      <c r="H149" s="5">
        <v>84700</v>
      </c>
      <c r="I149" s="10">
        <v>7038.7955972298769</v>
      </c>
    </row>
    <row r="150" spans="1:9" x14ac:dyDescent="0.25">
      <c r="A150" s="9">
        <v>1149</v>
      </c>
      <c r="B150" s="5">
        <v>107</v>
      </c>
      <c r="C150" s="5" t="s">
        <v>12</v>
      </c>
      <c r="D150" s="5" t="s">
        <v>19</v>
      </c>
      <c r="E150" s="5">
        <v>3</v>
      </c>
      <c r="F150" s="6">
        <v>45396</v>
      </c>
      <c r="G150" s="5">
        <v>39276</v>
      </c>
      <c r="H150" s="5">
        <v>117828</v>
      </c>
      <c r="I150" s="10">
        <v>6689.7827387071593</v>
      </c>
    </row>
    <row r="151" spans="1:9" x14ac:dyDescent="0.25">
      <c r="A151" s="9">
        <v>1150</v>
      </c>
      <c r="B151" s="5">
        <v>106</v>
      </c>
      <c r="C151" s="5" t="s">
        <v>12</v>
      </c>
      <c r="D151" s="5" t="s">
        <v>16</v>
      </c>
      <c r="E151" s="5">
        <v>6</v>
      </c>
      <c r="F151" s="6">
        <v>44960</v>
      </c>
      <c r="G151" s="5">
        <v>20269</v>
      </c>
      <c r="H151" s="5">
        <v>121614</v>
      </c>
      <c r="I151" s="10">
        <v>13656.59964682783</v>
      </c>
    </row>
    <row r="152" spans="1:9" x14ac:dyDescent="0.25">
      <c r="A152" s="9">
        <v>1151</v>
      </c>
      <c r="B152" s="5">
        <v>108</v>
      </c>
      <c r="C152" s="5" t="s">
        <v>9</v>
      </c>
      <c r="D152" s="5" t="s">
        <v>17</v>
      </c>
      <c r="E152" s="5">
        <v>2</v>
      </c>
      <c r="F152" s="6">
        <v>45549</v>
      </c>
      <c r="G152" s="5">
        <v>30446</v>
      </c>
      <c r="H152" s="5">
        <v>60892</v>
      </c>
      <c r="I152" s="10">
        <v>12549.788924779279</v>
      </c>
    </row>
    <row r="153" spans="1:9" x14ac:dyDescent="0.25">
      <c r="A153" s="9">
        <v>1152</v>
      </c>
      <c r="B153" s="5">
        <v>109</v>
      </c>
      <c r="C153" s="5" t="s">
        <v>12</v>
      </c>
      <c r="D153" s="5" t="s">
        <v>13</v>
      </c>
      <c r="E153" s="5">
        <v>3</v>
      </c>
      <c r="F153" s="6">
        <v>45295</v>
      </c>
      <c r="G153" s="5">
        <v>23978</v>
      </c>
      <c r="H153" s="5">
        <v>71934</v>
      </c>
      <c r="I153" s="10">
        <v>7590.2911351849134</v>
      </c>
    </row>
    <row r="154" spans="1:9" x14ac:dyDescent="0.25">
      <c r="A154" s="9">
        <v>1153</v>
      </c>
      <c r="B154" s="5">
        <v>105</v>
      </c>
      <c r="C154" s="5" t="s">
        <v>10</v>
      </c>
      <c r="D154" s="5" t="s">
        <v>17</v>
      </c>
      <c r="E154" s="5">
        <v>5</v>
      </c>
      <c r="F154" s="6">
        <v>45521</v>
      </c>
      <c r="G154" s="5">
        <v>18639</v>
      </c>
      <c r="H154" s="5">
        <v>93195</v>
      </c>
      <c r="I154" s="10">
        <v>8762.1419732575687</v>
      </c>
    </row>
    <row r="155" spans="1:9" x14ac:dyDescent="0.25">
      <c r="A155" s="9">
        <v>1154</v>
      </c>
      <c r="B155" s="5">
        <v>101</v>
      </c>
      <c r="C155" s="5" t="s">
        <v>10</v>
      </c>
      <c r="D155" s="5" t="s">
        <v>18</v>
      </c>
      <c r="E155" s="5">
        <v>9</v>
      </c>
      <c r="F155" s="6">
        <v>45480</v>
      </c>
      <c r="G155" s="5">
        <v>36970</v>
      </c>
      <c r="H155" s="5">
        <v>332730</v>
      </c>
      <c r="I155" s="10">
        <v>30789.555474771241</v>
      </c>
    </row>
    <row r="156" spans="1:9" x14ac:dyDescent="0.25">
      <c r="A156" s="9">
        <v>1155</v>
      </c>
      <c r="B156" s="5">
        <v>119</v>
      </c>
      <c r="C156" s="5" t="s">
        <v>11</v>
      </c>
      <c r="D156" s="5" t="s">
        <v>13</v>
      </c>
      <c r="E156" s="5">
        <v>2</v>
      </c>
      <c r="F156" s="6">
        <v>45351</v>
      </c>
      <c r="G156" s="5">
        <v>18864</v>
      </c>
      <c r="H156" s="5">
        <v>37728</v>
      </c>
      <c r="I156" s="10">
        <v>5773.694537968845</v>
      </c>
    </row>
    <row r="157" spans="1:9" x14ac:dyDescent="0.25">
      <c r="A157" s="9">
        <v>1156</v>
      </c>
      <c r="B157" s="5">
        <v>110</v>
      </c>
      <c r="C157" s="5" t="s">
        <v>12</v>
      </c>
      <c r="D157" s="5" t="s">
        <v>13</v>
      </c>
      <c r="E157" s="5">
        <v>8</v>
      </c>
      <c r="F157" s="6">
        <v>45539</v>
      </c>
      <c r="G157" s="5">
        <v>35299</v>
      </c>
      <c r="H157" s="5">
        <v>282392</v>
      </c>
      <c r="I157" s="10">
        <v>69216.61264365699</v>
      </c>
    </row>
    <row r="158" spans="1:9" x14ac:dyDescent="0.25">
      <c r="A158" s="9">
        <v>1157</v>
      </c>
      <c r="B158" s="5">
        <v>112</v>
      </c>
      <c r="C158" s="5" t="s">
        <v>11</v>
      </c>
      <c r="D158" s="5" t="s">
        <v>20</v>
      </c>
      <c r="E158" s="5">
        <v>2</v>
      </c>
      <c r="F158" s="6">
        <v>45444</v>
      </c>
      <c r="G158" s="5">
        <v>34365</v>
      </c>
      <c r="H158" s="5">
        <v>68730</v>
      </c>
      <c r="I158" s="10">
        <v>9745.7626292818604</v>
      </c>
    </row>
    <row r="159" spans="1:9" x14ac:dyDescent="0.25">
      <c r="A159" s="9">
        <v>1158</v>
      </c>
      <c r="B159" s="5">
        <v>115</v>
      </c>
      <c r="C159" s="5" t="s">
        <v>10</v>
      </c>
      <c r="D159" s="5" t="s">
        <v>13</v>
      </c>
      <c r="E159" s="5">
        <v>5</v>
      </c>
      <c r="F159" s="6">
        <v>45618</v>
      </c>
      <c r="G159" s="5">
        <v>45111</v>
      </c>
      <c r="H159" s="5">
        <v>225555</v>
      </c>
      <c r="I159" s="10">
        <v>36418.352495998952</v>
      </c>
    </row>
    <row r="160" spans="1:9" x14ac:dyDescent="0.25">
      <c r="A160" s="9">
        <v>1159</v>
      </c>
      <c r="B160" s="5">
        <v>109</v>
      </c>
      <c r="C160" s="5" t="s">
        <v>12</v>
      </c>
      <c r="D160" s="5" t="s">
        <v>15</v>
      </c>
      <c r="E160" s="5">
        <v>7</v>
      </c>
      <c r="F160" s="6">
        <v>45208</v>
      </c>
      <c r="G160" s="5">
        <v>23978</v>
      </c>
      <c r="H160" s="5">
        <v>167846</v>
      </c>
      <c r="I160" s="10">
        <v>37283.028334977622</v>
      </c>
    </row>
    <row r="161" spans="1:9" x14ac:dyDescent="0.25">
      <c r="A161" s="9">
        <v>1160</v>
      </c>
      <c r="B161" s="5">
        <v>120</v>
      </c>
      <c r="C161" s="5" t="s">
        <v>12</v>
      </c>
      <c r="D161" s="5" t="s">
        <v>14</v>
      </c>
      <c r="E161" s="5">
        <v>8</v>
      </c>
      <c r="F161" s="6">
        <v>45246</v>
      </c>
      <c r="G161" s="5">
        <v>39145</v>
      </c>
      <c r="H161" s="5">
        <v>313160</v>
      </c>
      <c r="I161" s="10">
        <v>49170.486636252906</v>
      </c>
    </row>
    <row r="162" spans="1:9" x14ac:dyDescent="0.25">
      <c r="A162" s="9">
        <v>1161</v>
      </c>
      <c r="B162" s="5">
        <v>117</v>
      </c>
      <c r="C162" s="5" t="s">
        <v>11</v>
      </c>
      <c r="D162" s="5" t="s">
        <v>15</v>
      </c>
      <c r="E162" s="5">
        <v>1</v>
      </c>
      <c r="F162" s="6">
        <v>45369</v>
      </c>
      <c r="G162" s="5">
        <v>3922</v>
      </c>
      <c r="H162" s="5">
        <v>3922</v>
      </c>
      <c r="I162" s="10">
        <v>340.79267634095078</v>
      </c>
    </row>
    <row r="163" spans="1:9" x14ac:dyDescent="0.25">
      <c r="A163" s="9">
        <v>1162</v>
      </c>
      <c r="B163" s="5">
        <v>117</v>
      </c>
      <c r="C163" s="5" t="s">
        <v>10</v>
      </c>
      <c r="D163" s="5" t="s">
        <v>16</v>
      </c>
      <c r="E163" s="5">
        <v>6</v>
      </c>
      <c r="F163" s="6">
        <v>45241</v>
      </c>
      <c r="G163" s="5">
        <v>3922</v>
      </c>
      <c r="H163" s="5">
        <v>23532</v>
      </c>
      <c r="I163" s="10">
        <v>2586.618199137748</v>
      </c>
    </row>
    <row r="164" spans="1:9" x14ac:dyDescent="0.25">
      <c r="A164" s="9">
        <v>1163</v>
      </c>
      <c r="B164" s="5">
        <v>120</v>
      </c>
      <c r="C164" s="5" t="s">
        <v>12</v>
      </c>
      <c r="D164" s="5" t="s">
        <v>16</v>
      </c>
      <c r="E164" s="5">
        <v>1</v>
      </c>
      <c r="F164" s="6">
        <v>45303</v>
      </c>
      <c r="G164" s="5">
        <v>39145</v>
      </c>
      <c r="H164" s="5">
        <v>39145</v>
      </c>
      <c r="I164" s="10">
        <v>4383.7461957569549</v>
      </c>
    </row>
    <row r="165" spans="1:9" x14ac:dyDescent="0.25">
      <c r="A165" s="9">
        <v>1164</v>
      </c>
      <c r="B165" s="5">
        <v>112</v>
      </c>
      <c r="C165" s="5" t="s">
        <v>11</v>
      </c>
      <c r="D165" s="5" t="s">
        <v>17</v>
      </c>
      <c r="E165" s="5">
        <v>2</v>
      </c>
      <c r="F165" s="6">
        <v>45215</v>
      </c>
      <c r="G165" s="5">
        <v>34365</v>
      </c>
      <c r="H165" s="5">
        <v>68730</v>
      </c>
      <c r="I165" s="10">
        <v>8898.0348150801419</v>
      </c>
    </row>
    <row r="166" spans="1:9" x14ac:dyDescent="0.25">
      <c r="A166" s="9">
        <v>1165</v>
      </c>
      <c r="B166" s="5">
        <v>107</v>
      </c>
      <c r="C166" s="5" t="s">
        <v>10</v>
      </c>
      <c r="D166" s="5" t="s">
        <v>15</v>
      </c>
      <c r="E166" s="5">
        <v>1</v>
      </c>
      <c r="F166" s="6">
        <v>45363</v>
      </c>
      <c r="G166" s="5">
        <v>39276</v>
      </c>
      <c r="H166" s="5">
        <v>39276</v>
      </c>
      <c r="I166" s="10">
        <v>5316.3122092012354</v>
      </c>
    </row>
    <row r="167" spans="1:9" x14ac:dyDescent="0.25">
      <c r="A167" s="9">
        <v>1166</v>
      </c>
      <c r="B167" s="5">
        <v>102</v>
      </c>
      <c r="C167" s="5" t="s">
        <v>11</v>
      </c>
      <c r="D167" s="5" t="s">
        <v>15</v>
      </c>
      <c r="E167" s="5">
        <v>5</v>
      </c>
      <c r="F167" s="6">
        <v>45588</v>
      </c>
      <c r="G167" s="5">
        <v>20365</v>
      </c>
      <c r="H167" s="5">
        <v>101825</v>
      </c>
      <c r="I167" s="10">
        <v>21378.8108795425</v>
      </c>
    </row>
    <row r="168" spans="1:9" x14ac:dyDescent="0.25">
      <c r="A168" s="9">
        <v>1167</v>
      </c>
      <c r="B168" s="5">
        <v>103</v>
      </c>
      <c r="C168" s="5" t="s">
        <v>9</v>
      </c>
      <c r="D168" s="5" t="s">
        <v>15</v>
      </c>
      <c r="E168" s="5">
        <v>9</v>
      </c>
      <c r="F168" s="6">
        <v>45203</v>
      </c>
      <c r="G168" s="5">
        <v>21175</v>
      </c>
      <c r="H168" s="5">
        <v>190575</v>
      </c>
      <c r="I168" s="10">
        <v>22845.635468765329</v>
      </c>
    </row>
    <row r="169" spans="1:9" x14ac:dyDescent="0.25">
      <c r="A169" s="9">
        <v>1168</v>
      </c>
      <c r="B169" s="5">
        <v>117</v>
      </c>
      <c r="C169" s="5" t="s">
        <v>12</v>
      </c>
      <c r="D169" s="5" t="s">
        <v>18</v>
      </c>
      <c r="E169" s="5">
        <v>6</v>
      </c>
      <c r="F169" s="6">
        <v>45636</v>
      </c>
      <c r="G169" s="5">
        <v>3922</v>
      </c>
      <c r="H169" s="5">
        <v>23532</v>
      </c>
      <c r="I169" s="10">
        <v>3380.2862773765082</v>
      </c>
    </row>
    <row r="170" spans="1:9" x14ac:dyDescent="0.25">
      <c r="A170" s="9">
        <v>1169</v>
      </c>
      <c r="B170" s="5">
        <v>105</v>
      </c>
      <c r="C170" s="5" t="s">
        <v>9</v>
      </c>
      <c r="D170" s="5" t="s">
        <v>13</v>
      </c>
      <c r="E170" s="5">
        <v>1</v>
      </c>
      <c r="F170" s="6">
        <v>45508</v>
      </c>
      <c r="G170" s="5">
        <v>18639</v>
      </c>
      <c r="H170" s="5">
        <v>18639</v>
      </c>
      <c r="I170" s="10">
        <v>3261.7354845289128</v>
      </c>
    </row>
    <row r="171" spans="1:9" x14ac:dyDescent="0.25">
      <c r="A171" s="9">
        <v>1170</v>
      </c>
      <c r="B171" s="5">
        <v>117</v>
      </c>
      <c r="C171" s="5" t="s">
        <v>10</v>
      </c>
      <c r="D171" s="5" t="s">
        <v>14</v>
      </c>
      <c r="E171" s="5">
        <v>1</v>
      </c>
      <c r="F171" s="6">
        <v>45429</v>
      </c>
      <c r="G171" s="5">
        <v>3922</v>
      </c>
      <c r="H171" s="5">
        <v>3922</v>
      </c>
      <c r="I171" s="10">
        <v>492.38823317206879</v>
      </c>
    </row>
    <row r="172" spans="1:9" x14ac:dyDescent="0.25">
      <c r="A172" s="9">
        <v>1171</v>
      </c>
      <c r="B172" s="5">
        <v>117</v>
      </c>
      <c r="C172" s="5" t="s">
        <v>9</v>
      </c>
      <c r="D172" s="5" t="s">
        <v>17</v>
      </c>
      <c r="E172" s="5">
        <v>2</v>
      </c>
      <c r="F172" s="6">
        <v>45550</v>
      </c>
      <c r="G172" s="5">
        <v>3922</v>
      </c>
      <c r="H172" s="5">
        <v>7844</v>
      </c>
      <c r="I172" s="10">
        <v>1704.602879093012</v>
      </c>
    </row>
    <row r="173" spans="1:9" x14ac:dyDescent="0.25">
      <c r="A173" s="9">
        <v>1172</v>
      </c>
      <c r="B173" s="5">
        <v>117</v>
      </c>
      <c r="C173" s="5" t="s">
        <v>9</v>
      </c>
      <c r="D173" s="5" t="s">
        <v>15</v>
      </c>
      <c r="E173" s="5">
        <v>9</v>
      </c>
      <c r="F173" s="6">
        <v>45442</v>
      </c>
      <c r="G173" s="5">
        <v>3922</v>
      </c>
      <c r="H173" s="5">
        <v>35298</v>
      </c>
      <c r="I173" s="10">
        <v>5912.0874644508713</v>
      </c>
    </row>
    <row r="174" spans="1:9" x14ac:dyDescent="0.25">
      <c r="A174" s="9">
        <v>1173</v>
      </c>
      <c r="B174" s="5">
        <v>102</v>
      </c>
      <c r="C174" s="5" t="s">
        <v>10</v>
      </c>
      <c r="D174" s="5" t="s">
        <v>15</v>
      </c>
      <c r="E174" s="5">
        <v>3</v>
      </c>
      <c r="F174" s="6">
        <v>45276</v>
      </c>
      <c r="G174" s="5">
        <v>20365</v>
      </c>
      <c r="H174" s="5">
        <v>61095</v>
      </c>
      <c r="I174" s="10">
        <v>6647.6819354010522</v>
      </c>
    </row>
    <row r="175" spans="1:9" x14ac:dyDescent="0.25">
      <c r="A175" s="9">
        <v>1174</v>
      </c>
      <c r="B175" s="5">
        <v>102</v>
      </c>
      <c r="C175" s="5" t="s">
        <v>11</v>
      </c>
      <c r="D175" s="5" t="s">
        <v>20</v>
      </c>
      <c r="E175" s="5">
        <v>1</v>
      </c>
      <c r="F175" s="6">
        <v>45372</v>
      </c>
      <c r="G175" s="5">
        <v>20365</v>
      </c>
      <c r="H175" s="5">
        <v>20365</v>
      </c>
      <c r="I175" s="10">
        <v>3926.6131207439698</v>
      </c>
    </row>
    <row r="176" spans="1:9" x14ac:dyDescent="0.25">
      <c r="A176" s="9">
        <v>1175</v>
      </c>
      <c r="B176" s="5">
        <v>105</v>
      </c>
      <c r="C176" s="5" t="s">
        <v>9</v>
      </c>
      <c r="D176" s="5" t="s">
        <v>17</v>
      </c>
      <c r="E176" s="5">
        <v>5</v>
      </c>
      <c r="F176" s="6">
        <v>45276</v>
      </c>
      <c r="G176" s="5">
        <v>18639</v>
      </c>
      <c r="H176" s="5">
        <v>93195</v>
      </c>
      <c r="I176" s="10">
        <v>14494.576042168659</v>
      </c>
    </row>
    <row r="177" spans="1:9" x14ac:dyDescent="0.25">
      <c r="A177" s="9">
        <v>1176</v>
      </c>
      <c r="B177" s="5">
        <v>101</v>
      </c>
      <c r="C177" s="5" t="s">
        <v>11</v>
      </c>
      <c r="D177" s="5" t="s">
        <v>15</v>
      </c>
      <c r="E177" s="5">
        <v>7</v>
      </c>
      <c r="F177" s="6">
        <v>45533</v>
      </c>
      <c r="G177" s="5">
        <v>36970</v>
      </c>
      <c r="H177" s="5">
        <v>258790</v>
      </c>
      <c r="I177" s="10">
        <v>40601.868019692592</v>
      </c>
    </row>
    <row r="178" spans="1:9" x14ac:dyDescent="0.25">
      <c r="A178" s="9">
        <v>1177</v>
      </c>
      <c r="B178" s="5">
        <v>101</v>
      </c>
      <c r="C178" s="5" t="s">
        <v>9</v>
      </c>
      <c r="D178" s="5" t="s">
        <v>17</v>
      </c>
      <c r="E178" s="5">
        <v>6</v>
      </c>
      <c r="F178" s="6">
        <v>45590</v>
      </c>
      <c r="G178" s="5">
        <v>36970</v>
      </c>
      <c r="H178" s="5">
        <v>221820</v>
      </c>
      <c r="I178" s="10">
        <v>32433.985742266861</v>
      </c>
    </row>
    <row r="179" spans="1:9" x14ac:dyDescent="0.25">
      <c r="A179" s="9">
        <v>1178</v>
      </c>
      <c r="B179" s="5">
        <v>119</v>
      </c>
      <c r="C179" s="5" t="s">
        <v>11</v>
      </c>
      <c r="D179" s="5" t="s">
        <v>13</v>
      </c>
      <c r="E179" s="5">
        <v>1</v>
      </c>
      <c r="F179" s="6">
        <v>45063</v>
      </c>
      <c r="G179" s="5">
        <v>18864</v>
      </c>
      <c r="H179" s="5">
        <v>18864</v>
      </c>
      <c r="I179" s="10">
        <v>2818.3266805128078</v>
      </c>
    </row>
    <row r="180" spans="1:9" x14ac:dyDescent="0.25">
      <c r="A180" s="9">
        <v>1179</v>
      </c>
      <c r="B180" s="5">
        <v>102</v>
      </c>
      <c r="C180" s="5" t="s">
        <v>10</v>
      </c>
      <c r="D180" s="5" t="s">
        <v>20</v>
      </c>
      <c r="E180" s="5">
        <v>5</v>
      </c>
      <c r="F180" s="6">
        <v>45169</v>
      </c>
      <c r="G180" s="5">
        <v>20365</v>
      </c>
      <c r="H180" s="5">
        <v>101825</v>
      </c>
      <c r="I180" s="10">
        <v>20677.73066391399</v>
      </c>
    </row>
    <row r="181" spans="1:9" x14ac:dyDescent="0.25">
      <c r="A181" s="9">
        <v>1180</v>
      </c>
      <c r="B181" s="5">
        <v>112</v>
      </c>
      <c r="C181" s="5" t="s">
        <v>9</v>
      </c>
      <c r="D181" s="5" t="s">
        <v>17</v>
      </c>
      <c r="E181" s="5">
        <v>5</v>
      </c>
      <c r="F181" s="6">
        <v>45469</v>
      </c>
      <c r="G181" s="5">
        <v>34365</v>
      </c>
      <c r="H181" s="5">
        <v>171825</v>
      </c>
      <c r="I181" s="10">
        <v>12130.20853722066</v>
      </c>
    </row>
    <row r="182" spans="1:9" x14ac:dyDescent="0.25">
      <c r="A182" s="9">
        <v>1181</v>
      </c>
      <c r="B182" s="5">
        <v>106</v>
      </c>
      <c r="C182" s="5" t="s">
        <v>10</v>
      </c>
      <c r="D182" s="5" t="s">
        <v>14</v>
      </c>
      <c r="E182" s="5">
        <v>6</v>
      </c>
      <c r="F182" s="6">
        <v>44966</v>
      </c>
      <c r="G182" s="5">
        <v>20269</v>
      </c>
      <c r="H182" s="5">
        <v>121614</v>
      </c>
      <c r="I182" s="10">
        <v>14213.339786942601</v>
      </c>
    </row>
    <row r="183" spans="1:9" x14ac:dyDescent="0.25">
      <c r="A183" s="9">
        <v>1182</v>
      </c>
      <c r="B183" s="5">
        <v>104</v>
      </c>
      <c r="C183" s="5" t="s">
        <v>9</v>
      </c>
      <c r="D183" s="5" t="s">
        <v>14</v>
      </c>
      <c r="E183" s="5">
        <v>3</v>
      </c>
      <c r="F183" s="6">
        <v>45155</v>
      </c>
      <c r="G183" s="5">
        <v>42430</v>
      </c>
      <c r="H183" s="5">
        <v>127290</v>
      </c>
      <c r="I183" s="10">
        <v>8286.6646357194131</v>
      </c>
    </row>
    <row r="184" spans="1:9" x14ac:dyDescent="0.25">
      <c r="A184" s="9">
        <v>1183</v>
      </c>
      <c r="B184" s="5">
        <v>111</v>
      </c>
      <c r="C184" s="5" t="s">
        <v>10</v>
      </c>
      <c r="D184" s="5" t="s">
        <v>16</v>
      </c>
      <c r="E184" s="5">
        <v>5</v>
      </c>
      <c r="F184" s="6">
        <v>45474</v>
      </c>
      <c r="G184" s="5">
        <v>14664</v>
      </c>
      <c r="H184" s="5">
        <v>73320</v>
      </c>
      <c r="I184" s="10">
        <v>14711.602581040621</v>
      </c>
    </row>
    <row r="185" spans="1:9" x14ac:dyDescent="0.25">
      <c r="A185" s="9">
        <v>1184</v>
      </c>
      <c r="B185" s="5">
        <v>117</v>
      </c>
      <c r="C185" s="5" t="s">
        <v>10</v>
      </c>
      <c r="D185" s="5" t="s">
        <v>20</v>
      </c>
      <c r="E185" s="5">
        <v>7</v>
      </c>
      <c r="F185" s="6">
        <v>45149</v>
      </c>
      <c r="G185" s="5">
        <v>3922</v>
      </c>
      <c r="H185" s="5">
        <v>27454</v>
      </c>
      <c r="I185" s="10">
        <v>2867.8550238982202</v>
      </c>
    </row>
    <row r="186" spans="1:9" x14ac:dyDescent="0.25">
      <c r="A186" s="9">
        <v>1185</v>
      </c>
      <c r="B186" s="5">
        <v>106</v>
      </c>
      <c r="C186" s="5" t="s">
        <v>9</v>
      </c>
      <c r="D186" s="5" t="s">
        <v>20</v>
      </c>
      <c r="E186" s="5">
        <v>5</v>
      </c>
      <c r="F186" s="6">
        <v>44932</v>
      </c>
      <c r="G186" s="5">
        <v>20269</v>
      </c>
      <c r="H186" s="5">
        <v>101345</v>
      </c>
      <c r="I186" s="10">
        <v>23257.266976618961</v>
      </c>
    </row>
    <row r="187" spans="1:9" x14ac:dyDescent="0.25">
      <c r="A187" s="9">
        <v>1186</v>
      </c>
      <c r="B187" s="5">
        <v>105</v>
      </c>
      <c r="C187" s="5" t="s">
        <v>9</v>
      </c>
      <c r="D187" s="5" t="s">
        <v>16</v>
      </c>
      <c r="E187" s="5">
        <v>5</v>
      </c>
      <c r="F187" s="6">
        <v>45248</v>
      </c>
      <c r="G187" s="5">
        <v>18639</v>
      </c>
      <c r="H187" s="5">
        <v>93195</v>
      </c>
      <c r="I187" s="10">
        <v>14474.646040062569</v>
      </c>
    </row>
    <row r="188" spans="1:9" x14ac:dyDescent="0.25">
      <c r="A188" s="9">
        <v>1187</v>
      </c>
      <c r="B188" s="5">
        <v>120</v>
      </c>
      <c r="C188" s="5" t="s">
        <v>9</v>
      </c>
      <c r="D188" s="5" t="s">
        <v>17</v>
      </c>
      <c r="E188" s="5">
        <v>5</v>
      </c>
      <c r="F188" s="6">
        <v>45394</v>
      </c>
      <c r="G188" s="5">
        <v>39145</v>
      </c>
      <c r="H188" s="5">
        <v>195725</v>
      </c>
      <c r="I188" s="10">
        <v>41131.599804824211</v>
      </c>
    </row>
    <row r="189" spans="1:9" x14ac:dyDescent="0.25">
      <c r="A189" s="9">
        <v>1188</v>
      </c>
      <c r="B189" s="5">
        <v>102</v>
      </c>
      <c r="C189" s="5" t="s">
        <v>12</v>
      </c>
      <c r="D189" s="5" t="s">
        <v>20</v>
      </c>
      <c r="E189" s="5">
        <v>3</v>
      </c>
      <c r="F189" s="6">
        <v>45001</v>
      </c>
      <c r="G189" s="5">
        <v>20365</v>
      </c>
      <c r="H189" s="5">
        <v>61095</v>
      </c>
      <c r="I189" s="10">
        <v>15016.31321179143</v>
      </c>
    </row>
    <row r="190" spans="1:9" x14ac:dyDescent="0.25">
      <c r="A190" s="9">
        <v>1189</v>
      </c>
      <c r="B190" s="5">
        <v>106</v>
      </c>
      <c r="C190" s="5" t="s">
        <v>11</v>
      </c>
      <c r="D190" s="5" t="s">
        <v>14</v>
      </c>
      <c r="E190" s="5">
        <v>1</v>
      </c>
      <c r="F190" s="6">
        <v>44930</v>
      </c>
      <c r="G190" s="5">
        <v>20269</v>
      </c>
      <c r="H190" s="5">
        <v>20269</v>
      </c>
      <c r="I190" s="10">
        <v>4417.7860784650456</v>
      </c>
    </row>
    <row r="191" spans="1:9" x14ac:dyDescent="0.25">
      <c r="A191" s="9">
        <v>1190</v>
      </c>
      <c r="B191" s="5">
        <v>111</v>
      </c>
      <c r="C191" s="5" t="s">
        <v>12</v>
      </c>
      <c r="D191" s="5" t="s">
        <v>14</v>
      </c>
      <c r="E191" s="5">
        <v>5</v>
      </c>
      <c r="F191" s="6">
        <v>45572</v>
      </c>
      <c r="G191" s="5">
        <v>14664</v>
      </c>
      <c r="H191" s="5">
        <v>73320</v>
      </c>
      <c r="I191" s="10">
        <v>16379.596496808979</v>
      </c>
    </row>
    <row r="192" spans="1:9" x14ac:dyDescent="0.25">
      <c r="A192" s="9">
        <v>1191</v>
      </c>
      <c r="B192" s="5">
        <v>116</v>
      </c>
      <c r="C192" s="5" t="s">
        <v>12</v>
      </c>
      <c r="D192" s="5" t="s">
        <v>15</v>
      </c>
      <c r="E192" s="5">
        <v>9</v>
      </c>
      <c r="F192" s="6">
        <v>45044</v>
      </c>
      <c r="G192" s="5">
        <v>26393</v>
      </c>
      <c r="H192" s="5">
        <v>237537</v>
      </c>
      <c r="I192" s="10">
        <v>31259.13261509583</v>
      </c>
    </row>
    <row r="193" spans="1:9" x14ac:dyDescent="0.25">
      <c r="A193" s="9">
        <v>1192</v>
      </c>
      <c r="B193" s="5">
        <v>116</v>
      </c>
      <c r="C193" s="5" t="s">
        <v>10</v>
      </c>
      <c r="D193" s="5" t="s">
        <v>13</v>
      </c>
      <c r="E193" s="5">
        <v>1</v>
      </c>
      <c r="F193" s="6">
        <v>45532</v>
      </c>
      <c r="G193" s="5">
        <v>26393</v>
      </c>
      <c r="H193" s="5">
        <v>26393</v>
      </c>
      <c r="I193" s="10">
        <v>4231.9728913359513</v>
      </c>
    </row>
    <row r="194" spans="1:9" x14ac:dyDescent="0.25">
      <c r="A194" s="9">
        <v>1193</v>
      </c>
      <c r="B194" s="5">
        <v>101</v>
      </c>
      <c r="C194" s="5" t="s">
        <v>9</v>
      </c>
      <c r="D194" s="5" t="s">
        <v>20</v>
      </c>
      <c r="E194" s="5">
        <v>3</v>
      </c>
      <c r="F194" s="6">
        <v>45430</v>
      </c>
      <c r="G194" s="5">
        <v>36970</v>
      </c>
      <c r="H194" s="5">
        <v>110910</v>
      </c>
      <c r="I194" s="10">
        <v>11177.25612760858</v>
      </c>
    </row>
    <row r="195" spans="1:9" x14ac:dyDescent="0.25">
      <c r="A195" s="9">
        <v>1194</v>
      </c>
      <c r="B195" s="5">
        <v>109</v>
      </c>
      <c r="C195" s="5" t="s">
        <v>11</v>
      </c>
      <c r="D195" s="5" t="s">
        <v>17</v>
      </c>
      <c r="E195" s="5">
        <v>4</v>
      </c>
      <c r="F195" s="6">
        <v>45500</v>
      </c>
      <c r="G195" s="5">
        <v>23978</v>
      </c>
      <c r="H195" s="5">
        <v>95912</v>
      </c>
      <c r="I195" s="10">
        <v>8557.5199235596901</v>
      </c>
    </row>
    <row r="196" spans="1:9" x14ac:dyDescent="0.25">
      <c r="A196" s="9">
        <v>1195</v>
      </c>
      <c r="B196" s="5">
        <v>106</v>
      </c>
      <c r="C196" s="5" t="s">
        <v>10</v>
      </c>
      <c r="D196" s="5" t="s">
        <v>16</v>
      </c>
      <c r="E196" s="5">
        <v>1</v>
      </c>
      <c r="F196" s="6">
        <v>45367</v>
      </c>
      <c r="G196" s="5">
        <v>20269</v>
      </c>
      <c r="H196" s="5">
        <v>20269</v>
      </c>
      <c r="I196" s="10">
        <v>3062.6778403200401</v>
      </c>
    </row>
    <row r="197" spans="1:9" x14ac:dyDescent="0.25">
      <c r="A197" s="9">
        <v>1196</v>
      </c>
      <c r="B197" s="5">
        <v>116</v>
      </c>
      <c r="C197" s="5" t="s">
        <v>12</v>
      </c>
      <c r="D197" s="5" t="s">
        <v>16</v>
      </c>
      <c r="E197" s="5">
        <v>1</v>
      </c>
      <c r="F197" s="6">
        <v>45120</v>
      </c>
      <c r="G197" s="5">
        <v>26393</v>
      </c>
      <c r="H197" s="5">
        <v>26393</v>
      </c>
      <c r="I197" s="10">
        <v>4460.675544246641</v>
      </c>
    </row>
    <row r="198" spans="1:9" x14ac:dyDescent="0.25">
      <c r="A198" s="9">
        <v>1197</v>
      </c>
      <c r="B198" s="5">
        <v>103</v>
      </c>
      <c r="C198" s="5" t="s">
        <v>9</v>
      </c>
      <c r="D198" s="5" t="s">
        <v>17</v>
      </c>
      <c r="E198" s="5">
        <v>8</v>
      </c>
      <c r="F198" s="6">
        <v>45641</v>
      </c>
      <c r="G198" s="5">
        <v>21175</v>
      </c>
      <c r="H198" s="5">
        <v>169400</v>
      </c>
      <c r="I198" s="10">
        <v>19964.509810962951</v>
      </c>
    </row>
    <row r="199" spans="1:9" x14ac:dyDescent="0.25">
      <c r="A199" s="9">
        <v>1198</v>
      </c>
      <c r="B199" s="5">
        <v>120</v>
      </c>
      <c r="C199" s="5" t="s">
        <v>10</v>
      </c>
      <c r="D199" s="5" t="s">
        <v>18</v>
      </c>
      <c r="E199" s="5">
        <v>2</v>
      </c>
      <c r="F199" s="6">
        <v>45318</v>
      </c>
      <c r="G199" s="5">
        <v>39145</v>
      </c>
      <c r="H199" s="5">
        <v>78290</v>
      </c>
      <c r="I199" s="10">
        <v>12830.846601140889</v>
      </c>
    </row>
    <row r="200" spans="1:9" x14ac:dyDescent="0.25">
      <c r="A200" s="9">
        <v>1199</v>
      </c>
      <c r="B200" s="5">
        <v>104</v>
      </c>
      <c r="C200" s="5" t="s">
        <v>9</v>
      </c>
      <c r="D200" s="5" t="s">
        <v>19</v>
      </c>
      <c r="E200" s="5">
        <v>8</v>
      </c>
      <c r="F200" s="6">
        <v>44952</v>
      </c>
      <c r="G200" s="5">
        <v>42430</v>
      </c>
      <c r="H200" s="5">
        <v>339440</v>
      </c>
      <c r="I200" s="10">
        <v>77219.917236876689</v>
      </c>
    </row>
    <row r="201" spans="1:9" x14ac:dyDescent="0.25">
      <c r="A201" s="15">
        <v>1200</v>
      </c>
      <c r="B201" s="16">
        <v>119</v>
      </c>
      <c r="C201" s="16" t="s">
        <v>10</v>
      </c>
      <c r="D201" s="16" t="s">
        <v>13</v>
      </c>
      <c r="E201" s="16">
        <v>7</v>
      </c>
      <c r="F201" s="17">
        <v>45361</v>
      </c>
      <c r="G201" s="16">
        <v>18864</v>
      </c>
      <c r="H201" s="16">
        <v>132048</v>
      </c>
      <c r="I201" s="18">
        <v>21305.19436549479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2CBD-8290-4417-8AC2-AA17226BC053}">
  <dimension ref="A1:J15"/>
  <sheetViews>
    <sheetView topLeftCell="A5" zoomScale="168" zoomScaleNormal="145" workbookViewId="0">
      <selection activeCell="F12" sqref="F12"/>
    </sheetView>
  </sheetViews>
  <sheetFormatPr defaultRowHeight="15" x14ac:dyDescent="0.25"/>
  <cols>
    <col min="8" max="8" width="18.5703125" customWidth="1"/>
  </cols>
  <sheetData>
    <row r="1" spans="1:10" x14ac:dyDescent="0.25">
      <c r="A1" s="20" t="s">
        <v>0</v>
      </c>
      <c r="B1" s="20" t="s">
        <v>1</v>
      </c>
      <c r="C1" s="20" t="s">
        <v>2</v>
      </c>
      <c r="D1" s="20" t="s">
        <v>3</v>
      </c>
      <c r="E1" s="20" t="s">
        <v>4</v>
      </c>
      <c r="F1" s="21" t="s">
        <v>5</v>
      </c>
      <c r="G1" s="20" t="s">
        <v>6</v>
      </c>
      <c r="H1" s="20" t="s">
        <v>7</v>
      </c>
      <c r="I1" s="20" t="s">
        <v>8</v>
      </c>
    </row>
    <row r="2" spans="1:10" x14ac:dyDescent="0.25">
      <c r="A2">
        <v>1111</v>
      </c>
      <c r="B2">
        <v>101</v>
      </c>
      <c r="C2" t="s">
        <v>9</v>
      </c>
      <c r="D2" t="s">
        <v>16</v>
      </c>
      <c r="E2">
        <v>5</v>
      </c>
      <c r="F2">
        <v>45291</v>
      </c>
      <c r="G2">
        <v>36970</v>
      </c>
      <c r="H2">
        <v>184850</v>
      </c>
      <c r="I2">
        <v>43208.706807979797</v>
      </c>
    </row>
    <row r="3" spans="1:10" x14ac:dyDescent="0.25">
      <c r="A3">
        <v>1001</v>
      </c>
      <c r="B3">
        <v>107</v>
      </c>
      <c r="C3" t="s">
        <v>9</v>
      </c>
      <c r="D3" t="s">
        <v>13</v>
      </c>
      <c r="E3">
        <v>3</v>
      </c>
      <c r="F3">
        <v>45080</v>
      </c>
      <c r="G3">
        <v>39276</v>
      </c>
      <c r="H3">
        <v>117828</v>
      </c>
      <c r="I3">
        <v>25653.10114536258</v>
      </c>
    </row>
    <row r="4" spans="1:10" x14ac:dyDescent="0.25">
      <c r="A4">
        <v>1005</v>
      </c>
      <c r="B4">
        <v>108</v>
      </c>
      <c r="C4" t="s">
        <v>11</v>
      </c>
      <c r="D4" t="s">
        <v>17</v>
      </c>
      <c r="E4">
        <v>1</v>
      </c>
      <c r="F4">
        <v>45044</v>
      </c>
      <c r="G4">
        <v>30446</v>
      </c>
      <c r="H4">
        <v>30446</v>
      </c>
      <c r="I4">
        <v>2737.137581948497</v>
      </c>
    </row>
    <row r="5" spans="1:10" x14ac:dyDescent="0.25">
      <c r="A5">
        <v>1121</v>
      </c>
      <c r="B5">
        <v>107</v>
      </c>
      <c r="C5" t="s">
        <v>12</v>
      </c>
      <c r="D5" t="s">
        <v>19</v>
      </c>
      <c r="E5">
        <v>9</v>
      </c>
      <c r="F5">
        <v>45200</v>
      </c>
      <c r="G5">
        <v>39276</v>
      </c>
      <c r="H5">
        <v>353484</v>
      </c>
      <c r="I5">
        <v>82056.800020844501</v>
      </c>
    </row>
    <row r="7" spans="1:10" x14ac:dyDescent="0.25">
      <c r="A7" s="34" t="s">
        <v>0</v>
      </c>
      <c r="B7" s="37">
        <v>1111</v>
      </c>
      <c r="C7" s="37">
        <v>1001</v>
      </c>
      <c r="D7" s="37">
        <v>1005</v>
      </c>
      <c r="E7" s="37">
        <v>1121</v>
      </c>
    </row>
    <row r="8" spans="1:10" x14ac:dyDescent="0.25">
      <c r="A8" s="34" t="s">
        <v>1</v>
      </c>
      <c r="B8" s="36">
        <v>101</v>
      </c>
      <c r="C8" s="36">
        <v>107</v>
      </c>
      <c r="D8" s="36">
        <v>108</v>
      </c>
      <c r="E8" s="36">
        <v>107</v>
      </c>
    </row>
    <row r="9" spans="1:10" x14ac:dyDescent="0.25">
      <c r="A9" s="34" t="s">
        <v>2</v>
      </c>
      <c r="B9" s="36" t="s">
        <v>9</v>
      </c>
      <c r="C9" s="36" t="s">
        <v>9</v>
      </c>
      <c r="D9" s="36" t="s">
        <v>11</v>
      </c>
      <c r="E9" s="36" t="s">
        <v>12</v>
      </c>
    </row>
    <row r="10" spans="1:10" x14ac:dyDescent="0.25">
      <c r="A10" s="34" t="s">
        <v>3</v>
      </c>
      <c r="B10" s="36" t="s">
        <v>16</v>
      </c>
      <c r="C10" s="36" t="s">
        <v>13</v>
      </c>
      <c r="D10" s="36" t="s">
        <v>17</v>
      </c>
      <c r="E10" s="36" t="s">
        <v>19</v>
      </c>
      <c r="H10" s="38" t="s">
        <v>47</v>
      </c>
      <c r="I10" s="38" t="s">
        <v>2</v>
      </c>
      <c r="J10" s="38" t="s">
        <v>7</v>
      </c>
    </row>
    <row r="11" spans="1:10" x14ac:dyDescent="0.25">
      <c r="A11" s="34" t="s">
        <v>4</v>
      </c>
      <c r="B11" s="36">
        <v>5</v>
      </c>
      <c r="C11" s="36">
        <v>3</v>
      </c>
      <c r="D11" s="36">
        <v>1</v>
      </c>
      <c r="E11" s="36">
        <v>9</v>
      </c>
      <c r="H11" s="38">
        <v>1111</v>
      </c>
      <c r="I11" t="str">
        <f>HLOOKUP($H$11,$A$7:$E$15,3,0)</f>
        <v>South</v>
      </c>
      <c r="J11">
        <f>HLOOKUP($H$11,$A$7:$E$15,8,0)</f>
        <v>184850</v>
      </c>
    </row>
    <row r="12" spans="1:10" x14ac:dyDescent="0.25">
      <c r="A12" s="35" t="s">
        <v>5</v>
      </c>
      <c r="B12" s="36">
        <v>45291</v>
      </c>
      <c r="C12" s="36">
        <v>45080</v>
      </c>
      <c r="D12" s="36">
        <v>45044</v>
      </c>
      <c r="E12" s="36">
        <v>45200</v>
      </c>
    </row>
    <row r="13" spans="1:10" x14ac:dyDescent="0.25">
      <c r="A13" s="34" t="s">
        <v>6</v>
      </c>
      <c r="B13" s="36">
        <v>36970</v>
      </c>
      <c r="C13" s="36">
        <v>39276</v>
      </c>
      <c r="D13" s="36">
        <v>30446</v>
      </c>
      <c r="E13" s="36">
        <v>39276</v>
      </c>
    </row>
    <row r="14" spans="1:10" x14ac:dyDescent="0.25">
      <c r="A14" s="34" t="s">
        <v>7</v>
      </c>
      <c r="B14" s="36">
        <v>184850</v>
      </c>
      <c r="C14" s="36">
        <v>117828</v>
      </c>
      <c r="D14" s="36">
        <v>30446</v>
      </c>
      <c r="E14" s="36">
        <v>353484</v>
      </c>
    </row>
    <row r="15" spans="1:10" x14ac:dyDescent="0.25">
      <c r="A15" s="34" t="s">
        <v>8</v>
      </c>
      <c r="B15" s="36">
        <v>43208.706807979797</v>
      </c>
      <c r="C15" s="36">
        <v>25653.10114536258</v>
      </c>
      <c r="D15" s="36">
        <v>2737.137581948497</v>
      </c>
      <c r="E15" s="36">
        <v>82056.800020844501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02B1-1C84-497D-8345-91D61A8AE29C}">
  <dimension ref="A1"/>
  <sheetViews>
    <sheetView showGridLines="0" zoomScaleNormal="100" workbookViewId="0">
      <selection activeCell="J10" sqref="J10"/>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68BB-AFEE-4C32-B19B-FCC843F67860}">
  <dimension ref="B2:T25"/>
  <sheetViews>
    <sheetView workbookViewId="0">
      <selection activeCell="K9" sqref="K9"/>
    </sheetView>
  </sheetViews>
  <sheetFormatPr defaultRowHeight="15" x14ac:dyDescent="0.25"/>
  <cols>
    <col min="9" max="9" width="15.7109375" customWidth="1"/>
    <col min="10" max="10" width="23.42578125" customWidth="1"/>
  </cols>
  <sheetData>
    <row r="2" spans="2:20" ht="23.25" customHeight="1" x14ac:dyDescent="0.25">
      <c r="B2" s="31" t="s">
        <v>22</v>
      </c>
      <c r="C2" s="31"/>
      <c r="D2" s="31"/>
      <c r="E2" s="31"/>
      <c r="G2" s="31" t="s">
        <v>23</v>
      </c>
      <c r="H2" s="32"/>
      <c r="I2" s="32"/>
      <c r="J2" s="32"/>
      <c r="L2" s="22" t="s">
        <v>24</v>
      </c>
      <c r="M2" s="23"/>
      <c r="N2" s="23"/>
      <c r="O2" s="23"/>
      <c r="Q2" s="22" t="s">
        <v>25</v>
      </c>
      <c r="R2" s="23"/>
      <c r="S2" s="23"/>
      <c r="T2" s="23"/>
    </row>
    <row r="3" spans="2:20" ht="15" customHeight="1" x14ac:dyDescent="0.25">
      <c r="B3" s="31"/>
      <c r="C3" s="31"/>
      <c r="D3" s="31"/>
      <c r="E3" s="31"/>
      <c r="G3" s="32"/>
      <c r="H3" s="32"/>
      <c r="I3" s="32"/>
      <c r="J3" s="32"/>
      <c r="L3" s="23"/>
      <c r="M3" s="23"/>
      <c r="N3" s="23"/>
      <c r="O3" s="23"/>
      <c r="Q3" s="23"/>
      <c r="R3" s="23"/>
      <c r="S3" s="23"/>
      <c r="T3" s="23"/>
    </row>
    <row r="4" spans="2:20" ht="15" customHeight="1" x14ac:dyDescent="0.25">
      <c r="B4" s="31"/>
      <c r="C4" s="31"/>
      <c r="D4" s="31"/>
      <c r="E4" s="31"/>
      <c r="G4" s="32"/>
      <c r="H4" s="32"/>
      <c r="I4" s="32"/>
      <c r="J4" s="32"/>
      <c r="L4" s="23"/>
      <c r="M4" s="23"/>
      <c r="N4" s="23"/>
      <c r="O4" s="23"/>
      <c r="Q4" s="23"/>
      <c r="R4" s="23"/>
      <c r="S4" s="23"/>
      <c r="T4" s="23"/>
    </row>
    <row r="5" spans="2:20" ht="15" customHeight="1" x14ac:dyDescent="0.25">
      <c r="B5" s="31"/>
      <c r="C5" s="31"/>
      <c r="D5" s="31"/>
      <c r="E5" s="31"/>
      <c r="G5" s="32"/>
      <c r="H5" s="32"/>
      <c r="I5" s="32"/>
      <c r="J5" s="32"/>
      <c r="L5" s="23"/>
      <c r="M5" s="23"/>
      <c r="N5" s="23"/>
      <c r="O5" s="23"/>
      <c r="Q5" s="23"/>
      <c r="R5" s="23"/>
      <c r="S5" s="23"/>
      <c r="T5" s="23"/>
    </row>
    <row r="6" spans="2:20" ht="15" customHeight="1" x14ac:dyDescent="0.25">
      <c r="B6" s="31"/>
      <c r="C6" s="31"/>
      <c r="D6" s="31"/>
      <c r="E6" s="31"/>
      <c r="G6" s="32"/>
      <c r="H6" s="32"/>
      <c r="I6" s="32"/>
      <c r="J6" s="32"/>
      <c r="L6" s="23"/>
      <c r="M6" s="23"/>
      <c r="N6" s="23"/>
      <c r="O6" s="23"/>
      <c r="Q6" s="23"/>
      <c r="R6" s="23"/>
      <c r="S6" s="23"/>
      <c r="T6" s="23"/>
    </row>
    <row r="7" spans="2:20" ht="15" customHeight="1" x14ac:dyDescent="0.25">
      <c r="B7" s="31"/>
      <c r="C7" s="31"/>
      <c r="D7" s="31"/>
      <c r="E7" s="31"/>
      <c r="G7" s="32"/>
      <c r="H7" s="32"/>
      <c r="I7" s="32"/>
      <c r="J7" s="32"/>
      <c r="L7" s="23"/>
      <c r="M7" s="23"/>
      <c r="N7" s="23"/>
      <c r="O7" s="23"/>
      <c r="Q7" s="23"/>
      <c r="R7" s="23"/>
      <c r="S7" s="23"/>
      <c r="T7" s="23"/>
    </row>
    <row r="8" spans="2:20" ht="15" customHeight="1" x14ac:dyDescent="0.25">
      <c r="B8" s="31"/>
      <c r="C8" s="31"/>
      <c r="D8" s="31"/>
      <c r="E8" s="31"/>
      <c r="G8" s="32"/>
      <c r="H8" s="32"/>
      <c r="I8" s="32"/>
      <c r="J8" s="32"/>
      <c r="L8" s="23"/>
      <c r="M8" s="23"/>
      <c r="N8" s="23"/>
      <c r="O8" s="23"/>
      <c r="Q8" s="23"/>
      <c r="R8" s="23"/>
      <c r="S8" s="23"/>
      <c r="T8" s="23"/>
    </row>
    <row r="9" spans="2:20" ht="15" customHeight="1" x14ac:dyDescent="0.25">
      <c r="B9" s="31"/>
      <c r="C9" s="31"/>
      <c r="D9" s="31"/>
      <c r="E9" s="31"/>
      <c r="G9" s="32"/>
      <c r="H9" s="32"/>
      <c r="I9" s="32"/>
      <c r="J9" s="32"/>
      <c r="L9" s="23"/>
      <c r="M9" s="23"/>
      <c r="N9" s="23"/>
      <c r="O9" s="23"/>
      <c r="Q9" s="23"/>
      <c r="R9" s="23"/>
      <c r="S9" s="23"/>
      <c r="T9" s="23"/>
    </row>
    <row r="10" spans="2:20" ht="15" customHeight="1" x14ac:dyDescent="0.25">
      <c r="B10" s="31"/>
      <c r="C10" s="31"/>
      <c r="D10" s="31"/>
      <c r="E10" s="31"/>
      <c r="G10" s="32"/>
      <c r="H10" s="32"/>
      <c r="I10" s="32"/>
      <c r="J10" s="32"/>
      <c r="L10" s="23"/>
      <c r="M10" s="23"/>
      <c r="N10" s="23"/>
      <c r="O10" s="23"/>
      <c r="Q10" s="23"/>
      <c r="R10" s="23"/>
      <c r="S10" s="23"/>
      <c r="T10" s="23"/>
    </row>
    <row r="11" spans="2:20" x14ac:dyDescent="0.25">
      <c r="B11" s="31"/>
      <c r="C11" s="31"/>
      <c r="D11" s="31"/>
      <c r="E11" s="31"/>
      <c r="G11" s="32"/>
      <c r="H11" s="32"/>
      <c r="I11" s="32"/>
      <c r="J11" s="32"/>
      <c r="L11" s="23"/>
      <c r="M11" s="23"/>
      <c r="N11" s="23"/>
      <c r="O11" s="23"/>
      <c r="Q11" s="23"/>
      <c r="R11" s="23"/>
      <c r="S11" s="23"/>
      <c r="T11" s="23"/>
    </row>
    <row r="12" spans="2:20" x14ac:dyDescent="0.25">
      <c r="B12" s="31"/>
      <c r="C12" s="31"/>
      <c r="D12" s="31"/>
      <c r="E12" s="31"/>
      <c r="G12" s="32"/>
      <c r="H12" s="32"/>
      <c r="I12" s="32"/>
      <c r="J12" s="32"/>
      <c r="L12" s="23"/>
      <c r="M12" s="23"/>
      <c r="N12" s="23"/>
      <c r="O12" s="23"/>
      <c r="Q12" s="23"/>
      <c r="R12" s="23"/>
      <c r="S12" s="23"/>
      <c r="T12" s="23"/>
    </row>
    <row r="15" spans="2:20" ht="15.75" customHeight="1" x14ac:dyDescent="0.25">
      <c r="B15" s="24" t="s">
        <v>26</v>
      </c>
      <c r="C15" s="25"/>
      <c r="D15" s="25"/>
      <c r="E15" s="25"/>
      <c r="I15" s="26" t="s">
        <v>27</v>
      </c>
      <c r="J15" s="27"/>
    </row>
    <row r="16" spans="2:20" x14ac:dyDescent="0.25">
      <c r="B16" s="25"/>
      <c r="C16" s="25"/>
      <c r="D16" s="25"/>
      <c r="E16" s="25"/>
      <c r="I16" s="28"/>
      <c r="J16" s="29"/>
    </row>
    <row r="17" spans="2:16" x14ac:dyDescent="0.25">
      <c r="B17" s="25"/>
      <c r="C17" s="25"/>
      <c r="D17" s="25"/>
      <c r="E17" s="25"/>
      <c r="I17" s="7" t="s">
        <v>28</v>
      </c>
      <c r="J17" s="7" t="s">
        <v>29</v>
      </c>
      <c r="M17" s="30" t="s">
        <v>38</v>
      </c>
      <c r="N17" s="30"/>
      <c r="O17" s="30"/>
      <c r="P17" s="30"/>
    </row>
    <row r="18" spans="2:16" ht="45" customHeight="1" x14ac:dyDescent="0.25">
      <c r="B18" s="25"/>
      <c r="C18" s="25"/>
      <c r="D18" s="25"/>
      <c r="E18" s="25"/>
      <c r="I18" s="8" t="s">
        <v>30</v>
      </c>
      <c r="J18" s="8" t="s">
        <v>31</v>
      </c>
    </row>
    <row r="19" spans="2:16" ht="30" customHeight="1" x14ac:dyDescent="0.25">
      <c r="B19" s="25"/>
      <c r="C19" s="25"/>
      <c r="D19" s="25"/>
      <c r="E19" s="25"/>
      <c r="I19" s="8" t="s">
        <v>32</v>
      </c>
      <c r="J19" s="8" t="s">
        <v>33</v>
      </c>
      <c r="M19" s="30" t="s">
        <v>39</v>
      </c>
      <c r="N19" s="30"/>
      <c r="O19" s="30"/>
      <c r="P19" s="30"/>
    </row>
    <row r="20" spans="2:16" ht="30" x14ac:dyDescent="0.25">
      <c r="B20" s="25"/>
      <c r="C20" s="25"/>
      <c r="D20" s="25"/>
      <c r="E20" s="25"/>
      <c r="I20" s="8" t="s">
        <v>34</v>
      </c>
      <c r="J20" s="8" t="s">
        <v>35</v>
      </c>
    </row>
    <row r="21" spans="2:16" x14ac:dyDescent="0.25">
      <c r="B21" s="25"/>
      <c r="C21" s="25"/>
      <c r="D21" s="25"/>
      <c r="E21" s="25"/>
      <c r="I21" s="8" t="s">
        <v>36</v>
      </c>
      <c r="J21" s="8" t="s">
        <v>37</v>
      </c>
    </row>
    <row r="22" spans="2:16" x14ac:dyDescent="0.25">
      <c r="B22" s="25"/>
      <c r="C22" s="25"/>
      <c r="D22" s="25"/>
      <c r="E22" s="25"/>
    </row>
    <row r="23" spans="2:16" x14ac:dyDescent="0.25">
      <c r="B23" s="25"/>
      <c r="C23" s="25"/>
      <c r="D23" s="25"/>
      <c r="E23" s="25"/>
    </row>
    <row r="24" spans="2:16" x14ac:dyDescent="0.25">
      <c r="B24" s="25"/>
      <c r="C24" s="25"/>
      <c r="D24" s="25"/>
      <c r="E24" s="25"/>
    </row>
    <row r="25" spans="2:16" x14ac:dyDescent="0.25">
      <c r="B25" s="25"/>
      <c r="C25" s="25"/>
      <c r="D25" s="25"/>
      <c r="E25" s="25"/>
    </row>
  </sheetData>
  <mergeCells count="8">
    <mergeCell ref="Q2:T12"/>
    <mergeCell ref="B15:E25"/>
    <mergeCell ref="I15:J16"/>
    <mergeCell ref="M17:P17"/>
    <mergeCell ref="M19:P19"/>
    <mergeCell ref="B2:E12"/>
    <mergeCell ref="G2:J12"/>
    <mergeCell ref="L2:O1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9A01618F-85DF-49F2-BDE1-91DA127E5F0D}">
  <ds:schemaRefs/>
</ds:datastoreItem>
</file>

<file path=customXml/itemProps2.xml><?xml version="1.0" encoding="utf-8"?>
<ds:datastoreItem xmlns:ds="http://schemas.openxmlformats.org/officeDocument/2006/customXml" ds:itemID="{01F97BBA-5D2A-433E-8B97-E4D41986E8FA}">
  <ds:schemaRefs/>
</ds:datastoreItem>
</file>

<file path=customXml/itemProps3.xml><?xml version="1.0" encoding="utf-8"?>
<ds:datastoreItem xmlns:ds="http://schemas.openxmlformats.org/officeDocument/2006/customXml" ds:itemID="{330C25E5-B9F7-4997-9F51-8489ACC569B2}">
  <ds:schemaRefs/>
</ds:datastoreItem>
</file>

<file path=customXml/itemProps4.xml><?xml version="1.0" encoding="utf-8"?>
<ds:datastoreItem xmlns:ds="http://schemas.openxmlformats.org/officeDocument/2006/customXml" ds:itemID="{E290A9A1-F743-43C1-BF59-49C2F45C656F}">
  <ds:schemaRefs/>
</ds:datastoreItem>
</file>

<file path=customXml/itemProps5.xml><?xml version="1.0" encoding="utf-8"?>
<ds:datastoreItem xmlns:ds="http://schemas.openxmlformats.org/officeDocument/2006/customXml" ds:itemID="{2DC124EB-BDE6-4229-9CCC-E41E0E8A9001}">
  <ds:schemaRefs/>
</ds:datastoreItem>
</file>

<file path=customXml/itemProps6.xml><?xml version="1.0" encoding="utf-8"?>
<ds:datastoreItem xmlns:ds="http://schemas.openxmlformats.org/officeDocument/2006/customXml" ds:itemID="{6BBCD139-960A-4766-AB47-565CE7882584}">
  <ds:schemaRefs/>
</ds:datastoreItem>
</file>

<file path=customXml/itemProps7.xml><?xml version="1.0" encoding="utf-8"?>
<ds:datastoreItem xmlns:ds="http://schemas.openxmlformats.org/officeDocument/2006/customXml" ds:itemID="{D0485F53-C49D-4545-88FE-F38ED3B27B53}">
  <ds:schemaRefs/>
</ds:datastoreItem>
</file>

<file path=customXml/itemProps8.xml><?xml version="1.0" encoding="utf-8"?>
<ds:datastoreItem xmlns:ds="http://schemas.openxmlformats.org/officeDocument/2006/customXml" ds:itemID="{93D97388-2BEE-4EA3-ABAE-26CE4627EFF6}">
  <ds:schemaRefs/>
</ds:datastoreItem>
</file>

<file path=customXml/itemProps9.xml><?xml version="1.0" encoding="utf-8"?>
<ds:datastoreItem xmlns:ds="http://schemas.openxmlformats.org/officeDocument/2006/customXml" ds:itemID="{D2CBE0BC-A5EA-48D5-B711-2A4836AA9825}">
  <ds:schemaRefs/>
</ds:datastoreItem>
</file>

<file path=customXml/itemProps10.xml><?xml version="1.0" encoding="utf-8"?>
<ds:datastoreItem xmlns:ds="http://schemas.openxmlformats.org/officeDocument/2006/customXml" ds:itemID="{9997E839-DACB-4C81-AC4B-5C9391995635}">
  <ds:schemaRefs/>
</ds:datastoreItem>
</file>

<file path=customXml/itemProps11.xml><?xml version="1.0" encoding="utf-8"?>
<ds:datastoreItem xmlns:ds="http://schemas.openxmlformats.org/officeDocument/2006/customXml" ds:itemID="{DC5D4FE6-7C5E-4D3A-88E0-B50611240E3E}">
  <ds:schemaRefs/>
</ds:datastoreItem>
</file>

<file path=customXml/itemProps12.xml><?xml version="1.0" encoding="utf-8"?>
<ds:datastoreItem xmlns:ds="http://schemas.openxmlformats.org/officeDocument/2006/customXml" ds:itemID="{C9C2344A-8C26-4913-8268-BAB71B5429AB}">
  <ds:schemaRefs/>
</ds:datastoreItem>
</file>

<file path=customXml/itemProps13.xml><?xml version="1.0" encoding="utf-8"?>
<ds:datastoreItem xmlns:ds="http://schemas.openxmlformats.org/officeDocument/2006/customXml" ds:itemID="{660E4532-DCEF-4C82-896E-E5077A426420}">
  <ds:schemaRefs/>
</ds:datastoreItem>
</file>

<file path=customXml/itemProps14.xml><?xml version="1.0" encoding="utf-8"?>
<ds:datastoreItem xmlns:ds="http://schemas.openxmlformats.org/officeDocument/2006/customXml" ds:itemID="{F1CEEB56-060B-4607-B93C-7305B47416F2}">
  <ds:schemaRefs/>
</ds:datastoreItem>
</file>

<file path=customXml/itemProps15.xml><?xml version="1.0" encoding="utf-8"?>
<ds:datastoreItem xmlns:ds="http://schemas.openxmlformats.org/officeDocument/2006/customXml" ds:itemID="{6D9B0CF9-09B9-400E-A747-BB22A44025D2}">
  <ds:schemaRefs/>
</ds:datastoreItem>
</file>

<file path=customXml/itemProps16.xml><?xml version="1.0" encoding="utf-8"?>
<ds:datastoreItem xmlns:ds="http://schemas.openxmlformats.org/officeDocument/2006/customXml" ds:itemID="{BC389EBC-8C54-4F45-ADDB-108FA2F81A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Dashboard</vt:lpstr>
      <vt:lpstr>New Pivot</vt:lpstr>
      <vt:lpstr>Source</vt:lpstr>
      <vt:lpstr>Sheet1</vt:lpstr>
      <vt:lpstr>New Dashboard</vt:lpstr>
      <vt:lpstr>PivotTable - HINT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Chetan Sharma</cp:lastModifiedBy>
  <dcterms:created xsi:type="dcterms:W3CDTF">2025-10-29T04:44:02Z</dcterms:created>
  <dcterms:modified xsi:type="dcterms:W3CDTF">2026-03-07T14:35:48Z</dcterms:modified>
</cp:coreProperties>
</file>