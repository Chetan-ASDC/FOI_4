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FOI_4\Excel\"/>
    </mc:Choice>
  </mc:AlternateContent>
  <xr:revisionPtr revIDLastSave="0" documentId="13_ncr:1_{644FFD1F-8AB1-441A-B777-EA4BB2598B7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f" sheetId="13" r:id="rId1"/>
    <sheet name="VLOOKUP_Basics" sheetId="1" r:id="rId2"/>
    <sheet name="HLOOKUP_Basics" sheetId="2" r:id="rId3"/>
    <sheet name="XLOOKUP_Basics" sheetId="3" r:id="rId4"/>
    <sheet name="Another" sheetId="7" r:id="rId5"/>
    <sheet name="Challenge_Tasks" sheetId="6" r:id="rId6"/>
    <sheet name="Task" sheetId="9" r:id="rId7"/>
    <sheet name="Index match" sheetId="10" r:id="rId8"/>
    <sheet name="Sheet1" sheetId="12" r:id="rId9"/>
  </sheets>
  <definedNames>
    <definedName name="_xlnm._FilterDatabase" localSheetId="3" hidden="1">XLOOKUP_Basics!$A$1:$A$12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7" l="1"/>
  <c r="B9" i="3" a="1"/>
  <c r="B9" i="3" s="1"/>
  <c r="H8" i="3"/>
  <c r="H4" i="3"/>
  <c r="H5" i="2"/>
  <c r="G5" i="2"/>
  <c r="D11" i="1"/>
  <c r="C11" i="1"/>
  <c r="B11" i="1"/>
  <c r="D7" i="1"/>
  <c r="A7" i="1"/>
  <c r="C7" i="1"/>
  <c r="B7" i="1"/>
  <c r="H10" i="1"/>
  <c r="H5" i="1"/>
  <c r="D5" i="13"/>
  <c r="D7" i="13"/>
  <c r="D3" i="13"/>
  <c r="D4" i="13"/>
  <c r="D6" i="13"/>
  <c r="D2" i="13"/>
  <c r="C7" i="13"/>
  <c r="B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<sst xmlns="http://schemas.openxmlformats.org/spreadsheetml/2006/main" count="155" uniqueCount="77">
  <si>
    <t>ProductID</t>
  </si>
  <si>
    <t>ProductName</t>
  </si>
  <si>
    <t>Price</t>
  </si>
  <si>
    <t>Category</t>
  </si>
  <si>
    <t>Pen</t>
  </si>
  <si>
    <t>Notebook</t>
  </si>
  <si>
    <t>Eraser</t>
  </si>
  <si>
    <t>Marker</t>
  </si>
  <si>
    <t>Stationery</t>
  </si>
  <si>
    <t>Quarter</t>
  </si>
  <si>
    <t>Sales</t>
  </si>
  <si>
    <t>Q1</t>
  </si>
  <si>
    <t>Q2</t>
  </si>
  <si>
    <t>Q3</t>
  </si>
  <si>
    <t>Q4</t>
  </si>
  <si>
    <t>EmployeeID</t>
  </si>
  <si>
    <t>Name</t>
  </si>
  <si>
    <t>Department</t>
  </si>
  <si>
    <t>Salary</t>
  </si>
  <si>
    <t>JoiningDate</t>
  </si>
  <si>
    <t>Alice</t>
  </si>
  <si>
    <t>Bob</t>
  </si>
  <si>
    <t>Carol</t>
  </si>
  <si>
    <t>David</t>
  </si>
  <si>
    <t>HR</t>
  </si>
  <si>
    <t>Finance</t>
  </si>
  <si>
    <t>IT</t>
  </si>
  <si>
    <t>Marketing</t>
  </si>
  <si>
    <t>2023-01-10</t>
  </si>
  <si>
    <t>2022-11-05</t>
  </si>
  <si>
    <t>2023-03-15</t>
  </si>
  <si>
    <t>2021-07-20</t>
  </si>
  <si>
    <t>Quantity</t>
  </si>
  <si>
    <t>Task</t>
  </si>
  <si>
    <t>What to Find:</t>
  </si>
  <si>
    <t>1. Price of a product by its ProductID</t>
  </si>
  <si>
    <t>2. Category of a product by its ProductID</t>
  </si>
  <si>
    <t>ProductId</t>
  </si>
  <si>
    <t>1. Sales value for a given quarter (e.g., Q2)</t>
  </si>
  <si>
    <t>1. Name of employee by ID</t>
  </si>
  <si>
    <t>2. Salary of employee by Name</t>
  </si>
  <si>
    <t>3. All Data</t>
  </si>
  <si>
    <t>4. All Data</t>
  </si>
  <si>
    <t>ID</t>
  </si>
  <si>
    <t>E101</t>
  </si>
  <si>
    <t>E102</t>
  </si>
  <si>
    <t>E103</t>
  </si>
  <si>
    <t>Charlie</t>
  </si>
  <si>
    <t>E104</t>
  </si>
  <si>
    <t>Diana</t>
  </si>
  <si>
    <t>E105</t>
  </si>
  <si>
    <t>Edward</t>
  </si>
  <si>
    <t>Location</t>
  </si>
  <si>
    <t>Rahul Sharma</t>
  </si>
  <si>
    <t>Mumbai</t>
  </si>
  <si>
    <t>Ananya Gupta</t>
  </si>
  <si>
    <t>Delhi</t>
  </si>
  <si>
    <t>Rohit Verma</t>
  </si>
  <si>
    <t>Bangalore</t>
  </si>
  <si>
    <t>Neha Singh</t>
  </si>
  <si>
    <t>Pune</t>
  </si>
  <si>
    <t>Aman Kumar</t>
  </si>
  <si>
    <t>E106</t>
  </si>
  <si>
    <t>Pooja Mehta</t>
  </si>
  <si>
    <t>Chennai</t>
  </si>
  <si>
    <t>JoiningYear</t>
  </si>
  <si>
    <t>E107</t>
  </si>
  <si>
    <t>Suresh Rao</t>
  </si>
  <si>
    <t>Hyderabad</t>
  </si>
  <si>
    <t>E108</t>
  </si>
  <si>
    <t>Kavita Iyer</t>
  </si>
  <si>
    <t>Bonus %</t>
  </si>
  <si>
    <t>Calculate Bonus Amount for employee E104
(Bonus Amount = Salary × Bonus %).</t>
  </si>
  <si>
    <t>Bonus Amount</t>
  </si>
  <si>
    <t>VLOOKUP($A$11,$A$1:$D$5,COLUMNS($A$10:B10),0)</t>
  </si>
  <si>
    <t>HLOOKUP($F$5,$A$1:$E$3,2,0)</t>
  </si>
  <si>
    <t>XLOOKUP(A9,A2:A5,B2:E5)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</si>
</sst>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  <font>
      <sz val="12"/>
      <name val="Segoe UI"/>
      <family val="2"/>
    </font>
    <font>
      <sz val="12"/>
      <name val="Segoe U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9" fontId="7" fillId="5" borderId="3" xfId="1" applyFont="1" applyFill="1" applyBorder="1" applyAlignment="1">
      <alignment horizontal="right" vertical="center"/>
    </xf>
    <xf numFmtId="9" fontId="6" fillId="2" borderId="3" xfId="1" applyFont="1" applyFill="1" applyBorder="1" applyAlignment="1">
      <alignment horizontal="center" vertical="center"/>
    </xf>
    <xf numFmtId="9" fontId="6" fillId="2" borderId="3" xfId="1" applyFont="1" applyFill="1" applyBorder="1" applyAlignment="1">
      <alignment horizontal="right" vertical="center"/>
    </xf>
    <xf numFmtId="9" fontId="7" fillId="2" borderId="3" xfId="1" applyFont="1" applyFill="1" applyBorder="1" applyAlignment="1">
      <alignment horizontal="left" vertical="center"/>
    </xf>
    <xf numFmtId="10" fontId="0" fillId="0" borderId="0" xfId="0" applyNumberFormat="1"/>
    <xf numFmtId="0" fontId="8" fillId="5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9" fontId="0" fillId="0" borderId="0" xfId="1" applyFont="1"/>
    <xf numFmtId="0" fontId="5" fillId="0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0" borderId="0" xfId="0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34BF-CD7C-4C0D-97F7-B461D8BF5EFD}">
  <dimension ref="B2:F7"/>
  <sheetViews>
    <sheetView topLeftCell="B1" zoomScale="175" zoomScaleNormal="175" workbookViewId="0">
      <selection activeCell="H7" sqref="H7"/>
    </sheetView>
  </sheetViews>
  <sheetFormatPr defaultRowHeight="15" x14ac:dyDescent="0.25"/>
  <sheetData>
    <row r="2" spans="2:6" x14ac:dyDescent="0.25">
      <c r="B2">
        <v>1</v>
      </c>
      <c r="C2">
        <v>1</v>
      </c>
      <c r="D2">
        <f>C2+$F$2</f>
        <v>11</v>
      </c>
      <c r="F2">
        <v>10</v>
      </c>
    </row>
    <row r="3" spans="2:6" x14ac:dyDescent="0.25">
      <c r="B3">
        <v>2</v>
      </c>
      <c r="C3">
        <v>2</v>
      </c>
      <c r="D3">
        <f t="shared" ref="D3:D6" si="0">C3+$F$2</f>
        <v>12</v>
      </c>
    </row>
    <row r="4" spans="2:6" x14ac:dyDescent="0.25">
      <c r="B4">
        <v>3</v>
      </c>
      <c r="C4">
        <v>3</v>
      </c>
      <c r="D4">
        <f t="shared" si="0"/>
        <v>13</v>
      </c>
    </row>
    <row r="5" spans="2:6" x14ac:dyDescent="0.25">
      <c r="B5">
        <v>4</v>
      </c>
      <c r="C5">
        <v>4</v>
      </c>
      <c r="D5">
        <f>C5+$F$2</f>
        <v>14</v>
      </c>
    </row>
    <row r="6" spans="2:6" x14ac:dyDescent="0.25">
      <c r="B6">
        <v>5</v>
      </c>
      <c r="C6">
        <v>5</v>
      </c>
      <c r="D6">
        <f t="shared" si="0"/>
        <v>15</v>
      </c>
    </row>
    <row r="7" spans="2:6" x14ac:dyDescent="0.25">
      <c r="B7">
        <f>SUM(B2:B6)</f>
        <v>15</v>
      </c>
      <c r="C7">
        <f>SUM(C2:C6)</f>
        <v>15</v>
      </c>
      <c r="D7">
        <f>C7+$F$2</f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334" zoomScaleNormal="145" workbookViewId="0">
      <selection activeCell="E15" sqref="E15"/>
    </sheetView>
  </sheetViews>
  <sheetFormatPr defaultRowHeight="15" x14ac:dyDescent="0.25"/>
  <cols>
    <col min="1" max="1" width="9.7109375" style="4" bestFit="1" customWidth="1"/>
    <col min="2" max="2" width="13.28515625" style="4" bestFit="1" customWidth="1"/>
    <col min="3" max="3" width="5.42578125" style="4" bestFit="1" customWidth="1"/>
    <col min="4" max="4" width="15.5703125" style="4" customWidth="1"/>
    <col min="5" max="6" width="9.140625" style="4"/>
    <col min="7" max="7" width="15.140625" style="4" customWidth="1"/>
    <col min="8" max="8" width="15.7109375" style="4" customWidth="1"/>
    <col min="9" max="16384" width="9.140625" style="4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34</v>
      </c>
    </row>
    <row r="2" spans="1:10" x14ac:dyDescent="0.25">
      <c r="A2" s="5">
        <v>101</v>
      </c>
      <c r="B2" s="5" t="s">
        <v>4</v>
      </c>
      <c r="C2" s="5">
        <v>10</v>
      </c>
      <c r="D2" s="5" t="s">
        <v>8</v>
      </c>
    </row>
    <row r="3" spans="1:10" x14ac:dyDescent="0.25">
      <c r="A3" s="5">
        <v>102</v>
      </c>
      <c r="B3" s="5" t="s">
        <v>5</v>
      </c>
      <c r="C3" s="5">
        <v>25</v>
      </c>
      <c r="D3" s="5" t="s">
        <v>8</v>
      </c>
      <c r="G3" s="27" t="s">
        <v>35</v>
      </c>
      <c r="H3" s="27"/>
      <c r="I3" s="27"/>
    </row>
    <row r="4" spans="1:10" x14ac:dyDescent="0.25">
      <c r="A4" s="5">
        <v>103</v>
      </c>
      <c r="B4" s="5" t="s">
        <v>6</v>
      </c>
      <c r="C4" s="5">
        <v>5</v>
      </c>
      <c r="D4" s="5" t="s">
        <v>8</v>
      </c>
      <c r="G4" s="6" t="s">
        <v>37</v>
      </c>
      <c r="H4" s="6" t="s">
        <v>2</v>
      </c>
    </row>
    <row r="5" spans="1:10" x14ac:dyDescent="0.25">
      <c r="A5" s="5">
        <v>104</v>
      </c>
      <c r="B5" s="5" t="s">
        <v>7</v>
      </c>
      <c r="C5" s="5">
        <v>15</v>
      </c>
      <c r="D5" s="5" t="s">
        <v>8</v>
      </c>
      <c r="G5" s="7">
        <v>102</v>
      </c>
      <c r="H5" s="9">
        <f>VLOOKUP(G5,A1:D5,3,0)</f>
        <v>25</v>
      </c>
    </row>
    <row r="7" spans="1:10" x14ac:dyDescent="0.25">
      <c r="A7" s="4">
        <f>COLUMNS($A$6:A6)</f>
        <v>1</v>
      </c>
      <c r="B7" s="4">
        <f>COLUMNS($A$6:B6)</f>
        <v>2</v>
      </c>
      <c r="C7" s="4">
        <f>COLUMNS($A$6:C6)</f>
        <v>3</v>
      </c>
      <c r="D7" s="4">
        <f>COLUMNS($A$6:D6)</f>
        <v>4</v>
      </c>
    </row>
    <row r="8" spans="1:10" x14ac:dyDescent="0.25">
      <c r="G8" s="27" t="s">
        <v>36</v>
      </c>
      <c r="H8" s="27"/>
      <c r="I8" s="27"/>
      <c r="J8" s="27"/>
    </row>
    <row r="9" spans="1:10" x14ac:dyDescent="0.25">
      <c r="A9" s="27" t="s">
        <v>41</v>
      </c>
      <c r="B9" s="27"/>
      <c r="C9" s="27"/>
      <c r="D9" s="27"/>
      <c r="G9" s="6" t="s">
        <v>37</v>
      </c>
      <c r="H9" s="6" t="s">
        <v>3</v>
      </c>
    </row>
    <row r="10" spans="1:10" x14ac:dyDescent="0.25">
      <c r="A10" s="1" t="s">
        <v>0</v>
      </c>
      <c r="B10" s="1" t="s">
        <v>1</v>
      </c>
      <c r="C10" s="1" t="s">
        <v>2</v>
      </c>
      <c r="D10" s="1" t="s">
        <v>3</v>
      </c>
      <c r="G10" s="7">
        <v>108</v>
      </c>
      <c r="H10" s="7" t="str">
        <f>IFERROR(VLOOKUP(G10,A1:D5,4,0), "Not found")</f>
        <v>Not found</v>
      </c>
    </row>
    <row r="11" spans="1:10" x14ac:dyDescent="0.25">
      <c r="A11" s="7">
        <v>104</v>
      </c>
      <c r="B11" s="9" t="str">
        <f>VLOOKUP($A$11,$A$1:$D$5,COLUMNS($A$10:B10),0)</f>
        <v>Marker</v>
      </c>
      <c r="C11" s="9">
        <f>VLOOKUP($A$11,$A$1:$D$5,COLUMNS($A$10:C10),0)</f>
        <v>15</v>
      </c>
      <c r="D11" s="9" t="str">
        <f>VLOOKUP($A$11,$A$1:$D$5,COLUMNS($A$10:D10),0)</f>
        <v>Stationery</v>
      </c>
    </row>
    <row r="13" spans="1:10" x14ac:dyDescent="0.25">
      <c r="A13" s="28" t="s">
        <v>74</v>
      </c>
      <c r="B13" s="28"/>
      <c r="C13" s="28"/>
      <c r="D13" s="28"/>
      <c r="E13" s="28"/>
    </row>
  </sheetData>
  <mergeCells count="4">
    <mergeCell ref="A9:D9"/>
    <mergeCell ref="G3:I3"/>
    <mergeCell ref="G8:J8"/>
    <mergeCell ref="A13:E13"/>
  </mergeCells>
  <dataValidations disablePrompts="1" count="1">
    <dataValidation type="list" allowBlank="1" showInputMessage="1" showErrorMessage="1" sqref="G5 A11" xr:uid="{A2A1B387-306C-4132-8C5A-FAB70B00FB3B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235" zoomScaleNormal="235" workbookViewId="0">
      <selection activeCell="F8" sqref="E8:F8"/>
    </sheetView>
  </sheetViews>
  <sheetFormatPr defaultRowHeight="15" x14ac:dyDescent="0.25"/>
  <cols>
    <col min="1" max="1" width="9" customWidth="1"/>
    <col min="2" max="2" width="5.5703125" bestFit="1" customWidth="1"/>
    <col min="7" max="7" width="11.7109375" customWidth="1"/>
  </cols>
  <sheetData>
    <row r="1" spans="1:10" x14ac:dyDescent="0.25">
      <c r="A1" s="10" t="s">
        <v>9</v>
      </c>
      <c r="B1" s="12" t="s">
        <v>11</v>
      </c>
      <c r="C1" s="12" t="s">
        <v>12</v>
      </c>
      <c r="D1" s="12" t="s">
        <v>13</v>
      </c>
      <c r="E1" s="12" t="s">
        <v>14</v>
      </c>
    </row>
    <row r="2" spans="1:10" x14ac:dyDescent="0.25">
      <c r="A2" s="10" t="s">
        <v>10</v>
      </c>
      <c r="B2" s="11">
        <v>500</v>
      </c>
      <c r="C2" s="11">
        <v>700</v>
      </c>
      <c r="D2" s="11">
        <v>600</v>
      </c>
      <c r="E2" s="11">
        <v>800</v>
      </c>
    </row>
    <row r="3" spans="1:10" x14ac:dyDescent="0.25">
      <c r="A3" s="10" t="s">
        <v>32</v>
      </c>
      <c r="B3" s="11">
        <v>3</v>
      </c>
      <c r="C3" s="11">
        <v>5</v>
      </c>
      <c r="D3" s="11">
        <v>2</v>
      </c>
      <c r="E3" s="11">
        <v>4</v>
      </c>
      <c r="F3" s="29" t="s">
        <v>38</v>
      </c>
      <c r="G3" s="30"/>
      <c r="H3" s="30"/>
      <c r="I3" s="30"/>
    </row>
    <row r="4" spans="1:10" x14ac:dyDescent="0.25">
      <c r="F4" s="1" t="s">
        <v>9</v>
      </c>
      <c r="G4" s="1" t="s">
        <v>10</v>
      </c>
      <c r="H4" s="10" t="s">
        <v>32</v>
      </c>
    </row>
    <row r="5" spans="1:10" x14ac:dyDescent="0.25">
      <c r="F5" s="7" t="s">
        <v>14</v>
      </c>
      <c r="G5" s="7">
        <f>HLOOKUP($F$5,$A$1:$E$3,2,0)</f>
        <v>800</v>
      </c>
      <c r="H5" s="7">
        <f>HLOOKUP($F$5,$A$1:$E$3,3,0)</f>
        <v>4</v>
      </c>
    </row>
    <row r="7" spans="1:10" x14ac:dyDescent="0.25">
      <c r="C7" s="1" t="s">
        <v>9</v>
      </c>
      <c r="D7" s="1" t="s">
        <v>10</v>
      </c>
      <c r="F7" s="31" t="s">
        <v>75</v>
      </c>
      <c r="G7" s="31"/>
      <c r="H7" s="31"/>
      <c r="I7" s="31"/>
      <c r="J7" s="31"/>
    </row>
    <row r="8" spans="1:10" x14ac:dyDescent="0.25">
      <c r="C8" s="2" t="s">
        <v>11</v>
      </c>
      <c r="D8" s="2">
        <v>500</v>
      </c>
    </row>
    <row r="9" spans="1:10" x14ac:dyDescent="0.25">
      <c r="C9" s="2" t="s">
        <v>12</v>
      </c>
      <c r="D9" s="2">
        <v>700</v>
      </c>
    </row>
    <row r="10" spans="1:10" x14ac:dyDescent="0.25">
      <c r="C10" s="2" t="s">
        <v>13</v>
      </c>
      <c r="D10" s="2">
        <v>600</v>
      </c>
    </row>
    <row r="11" spans="1:10" x14ac:dyDescent="0.25">
      <c r="C11" s="2" t="s">
        <v>14</v>
      </c>
      <c r="D11" s="2">
        <v>800</v>
      </c>
    </row>
  </sheetData>
  <mergeCells count="2">
    <mergeCell ref="F3:I3"/>
    <mergeCell ref="F7:J7"/>
  </mergeCells>
  <dataValidations count="1">
    <dataValidation type="list" allowBlank="1" showInputMessage="1" showErrorMessage="1" sqref="F5" xr:uid="{6B0827AD-4D8E-427B-9A63-D443085EADC0}">
      <formula1>$B$1:$E$1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45" zoomScaleNormal="145" workbookViewId="0">
      <selection activeCell="E10" sqref="E10"/>
    </sheetView>
  </sheetViews>
  <sheetFormatPr defaultRowHeight="15" x14ac:dyDescent="0.25"/>
  <cols>
    <col min="1" max="1" width="11.7109375" style="4" bestFit="1" customWidth="1"/>
    <col min="2" max="2" width="13.85546875" style="4" customWidth="1"/>
    <col min="3" max="3" width="11.7109375" style="4" bestFit="1" customWidth="1"/>
    <col min="4" max="4" width="10.42578125" style="4" customWidth="1"/>
    <col min="5" max="5" width="11.42578125" style="4" bestFit="1" customWidth="1"/>
    <col min="6" max="6" width="9.140625" style="4"/>
    <col min="7" max="7" width="13.140625" style="4" customWidth="1"/>
    <col min="8" max="8" width="12.5703125" style="4" customWidth="1"/>
    <col min="9" max="16384" width="9.140625" style="4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9" x14ac:dyDescent="0.25">
      <c r="A2" s="5">
        <v>201</v>
      </c>
      <c r="B2" s="5" t="s">
        <v>20</v>
      </c>
      <c r="C2" s="5" t="s">
        <v>24</v>
      </c>
      <c r="D2" s="5">
        <v>50000</v>
      </c>
      <c r="E2" s="5" t="s">
        <v>28</v>
      </c>
      <c r="G2" s="27" t="s">
        <v>39</v>
      </c>
      <c r="H2" s="27"/>
      <c r="I2" s="27"/>
    </row>
    <row r="3" spans="1:9" x14ac:dyDescent="0.25">
      <c r="A3" s="5">
        <v>202</v>
      </c>
      <c r="B3" s="5" t="s">
        <v>21</v>
      </c>
      <c r="C3" s="5" t="s">
        <v>25</v>
      </c>
      <c r="D3" s="5">
        <v>60000</v>
      </c>
      <c r="E3" s="5" t="s">
        <v>29</v>
      </c>
      <c r="G3" s="1" t="s">
        <v>15</v>
      </c>
      <c r="H3" s="1" t="s">
        <v>16</v>
      </c>
    </row>
    <row r="4" spans="1:9" x14ac:dyDescent="0.25">
      <c r="A4" s="5">
        <v>203</v>
      </c>
      <c r="B4" s="5" t="s">
        <v>22</v>
      </c>
      <c r="C4" s="5" t="s">
        <v>26</v>
      </c>
      <c r="D4" s="5">
        <v>55000</v>
      </c>
      <c r="E4" s="5" t="s">
        <v>30</v>
      </c>
      <c r="G4" s="7">
        <v>208</v>
      </c>
      <c r="H4" s="33" t="str">
        <f>_xlfn.XLOOKUP(G4,A2:A5,B2:B5, "Not found")</f>
        <v>Not found</v>
      </c>
    </row>
    <row r="5" spans="1:9" x14ac:dyDescent="0.25">
      <c r="A5" s="5">
        <v>204</v>
      </c>
      <c r="B5" s="5" t="s">
        <v>23</v>
      </c>
      <c r="C5" s="5" t="s">
        <v>27</v>
      </c>
      <c r="D5" s="5">
        <v>58000</v>
      </c>
      <c r="E5" s="5" t="s">
        <v>31</v>
      </c>
    </row>
    <row r="6" spans="1:9" x14ac:dyDescent="0.25">
      <c r="G6" s="27" t="s">
        <v>40</v>
      </c>
      <c r="H6" s="27"/>
      <c r="I6" s="27"/>
    </row>
    <row r="7" spans="1:9" x14ac:dyDescent="0.25">
      <c r="A7" s="27" t="s">
        <v>42</v>
      </c>
      <c r="B7" s="27"/>
      <c r="C7" s="27"/>
      <c r="G7" s="1" t="s">
        <v>16</v>
      </c>
      <c r="H7" s="1" t="s">
        <v>18</v>
      </c>
    </row>
    <row r="8" spans="1:9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G8" s="7" t="s">
        <v>22</v>
      </c>
      <c r="H8" s="7">
        <f>_xlfn.XLOOKUP(G8,B2:B5,D2:D5, "Not found")</f>
        <v>55000</v>
      </c>
    </row>
    <row r="9" spans="1:9" x14ac:dyDescent="0.25">
      <c r="A9" s="7">
        <v>201</v>
      </c>
      <c r="B9" s="7" t="str" cm="1">
        <f t="array" ref="B9:E9">_xlfn.XLOOKUP(A9,A2:A5,B2:E5)</f>
        <v>Alice</v>
      </c>
      <c r="C9" s="8" t="str">
        <v>HR</v>
      </c>
      <c r="D9" s="8">
        <v>50000</v>
      </c>
      <c r="E9" s="8" t="str">
        <v>2023-01-10</v>
      </c>
    </row>
    <row r="10" spans="1:9" x14ac:dyDescent="0.25">
      <c r="G10" s="27"/>
      <c r="H10" s="27"/>
      <c r="I10" s="27"/>
    </row>
    <row r="11" spans="1:9" x14ac:dyDescent="0.25">
      <c r="A11" s="34" t="s">
        <v>76</v>
      </c>
      <c r="B11" s="34"/>
      <c r="C11" s="34"/>
      <c r="G11" s="6"/>
      <c r="H11" s="6"/>
    </row>
    <row r="12" spans="1:9" x14ac:dyDescent="0.25">
      <c r="G12" s="7"/>
      <c r="H12" s="7"/>
    </row>
  </sheetData>
  <mergeCells count="5">
    <mergeCell ref="A7:C7"/>
    <mergeCell ref="G2:I2"/>
    <mergeCell ref="G6:I6"/>
    <mergeCell ref="G10:I10"/>
    <mergeCell ref="A11:C1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AE37-C942-44D9-AFA8-62ABDC05D4D0}">
  <dimension ref="A1:D3"/>
  <sheetViews>
    <sheetView tabSelected="1" zoomScale="205" zoomScaleNormal="205" workbookViewId="0">
      <selection activeCell="B10" sqref="B10"/>
    </sheetView>
  </sheetViews>
  <sheetFormatPr defaultRowHeight="15" x14ac:dyDescent="0.25"/>
  <cols>
    <col min="2" max="2" width="16.140625" customWidth="1"/>
    <col min="3" max="3" width="19.140625" customWidth="1"/>
    <col min="4" max="4" width="13.5703125" customWidth="1"/>
  </cols>
  <sheetData>
    <row r="1" spans="1:4" x14ac:dyDescent="0.25">
      <c r="A1" s="27" t="s">
        <v>41</v>
      </c>
      <c r="B1" s="27"/>
      <c r="C1" s="27"/>
      <c r="D1" s="27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7">
        <v>103</v>
      </c>
      <c r="B3" s="22" t="str">
        <f>VLOOKUP(A3,VLOOKUP_Basics!A1:D5,2,0)</f>
        <v>Eraser</v>
      </c>
      <c r="C3" s="22"/>
      <c r="D3" s="2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zoomScale="130" zoomScaleNormal="130" workbookViewId="0">
      <selection activeCell="J2" sqref="J2"/>
    </sheetView>
  </sheetViews>
  <sheetFormatPr defaultRowHeight="15" x14ac:dyDescent="0.25"/>
  <cols>
    <col min="1" max="1" width="31.85546875" bestFit="1" customWidth="1"/>
  </cols>
  <sheetData>
    <row r="1" spans="1:7" x14ac:dyDescent="0.25">
      <c r="A1" s="1" t="s">
        <v>33</v>
      </c>
    </row>
    <row r="2" spans="1:7" x14ac:dyDescent="0.25">
      <c r="A2" s="3"/>
    </row>
    <row r="3" spans="1:7" x14ac:dyDescent="0.25">
      <c r="A3" s="3"/>
      <c r="C3" s="2"/>
      <c r="D3" s="2"/>
      <c r="E3" s="2"/>
      <c r="F3" s="2"/>
      <c r="G3" s="2"/>
    </row>
    <row r="4" spans="1:7" x14ac:dyDescent="0.25">
      <c r="A4" s="3"/>
      <c r="C4" s="2"/>
      <c r="D4" s="2"/>
      <c r="E4" s="2"/>
      <c r="F4" s="2"/>
      <c r="G4" s="2"/>
    </row>
    <row r="5" spans="1:7" x14ac:dyDescent="0.25">
      <c r="C5" s="2"/>
      <c r="D5" s="2"/>
      <c r="E5" s="2"/>
      <c r="F5" s="2"/>
      <c r="G5" s="2"/>
    </row>
    <row r="6" spans="1:7" x14ac:dyDescent="0.25">
      <c r="C6" s="2"/>
      <c r="D6" s="2"/>
      <c r="E6" s="2"/>
      <c r="F6" s="2"/>
      <c r="G6" s="2"/>
    </row>
    <row r="7" spans="1:7" x14ac:dyDescent="0.25">
      <c r="C7" s="2"/>
      <c r="D7" s="2"/>
      <c r="E7" s="2"/>
      <c r="F7" s="2"/>
      <c r="G7" s="2"/>
    </row>
    <row r="8" spans="1:7" x14ac:dyDescent="0.25">
      <c r="C8" s="2"/>
      <c r="D8" s="2"/>
      <c r="E8" s="2"/>
      <c r="F8" s="2"/>
      <c r="G8" s="2"/>
    </row>
    <row r="9" spans="1:7" x14ac:dyDescent="0.25">
      <c r="C9" s="2"/>
      <c r="D9" s="2"/>
      <c r="E9" s="2"/>
      <c r="F9" s="2"/>
      <c r="G9" s="2"/>
    </row>
    <row r="10" spans="1:7" x14ac:dyDescent="0.25">
      <c r="C10" s="2"/>
      <c r="D10" s="2"/>
      <c r="E10" s="2"/>
      <c r="F10" s="2"/>
      <c r="G10" s="2"/>
    </row>
    <row r="11" spans="1:7" x14ac:dyDescent="0.25">
      <c r="C11" s="2"/>
      <c r="D11" s="2"/>
      <c r="E11" s="2"/>
      <c r="F11" s="2"/>
      <c r="G11" s="2"/>
    </row>
    <row r="12" spans="1:7" x14ac:dyDescent="0.25">
      <c r="C12" s="2"/>
      <c r="D12" s="2"/>
      <c r="E12" s="2"/>
      <c r="F12" s="2"/>
      <c r="G1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3EC-73F3-4807-A24B-D5D650856789}">
  <dimension ref="A1:Q13"/>
  <sheetViews>
    <sheetView zoomScale="115" zoomScaleNormal="115" workbookViewId="0">
      <selection activeCell="I13" sqref="I13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4.85546875" customWidth="1"/>
    <col min="8" max="8" width="13.5703125" customWidth="1"/>
    <col min="9" max="9" width="15.85546875" customWidth="1"/>
    <col min="10" max="10" width="9.140625" customWidth="1"/>
    <col min="11" max="11" width="7" customWidth="1"/>
    <col min="12" max="12" width="10.5703125" customWidth="1"/>
    <col min="13" max="13" width="16.5703125" customWidth="1"/>
    <col min="14" max="14" width="15" customWidth="1"/>
    <col min="16" max="16" width="12.42578125" customWidth="1"/>
    <col min="17" max="17" width="18.42578125" customWidth="1"/>
  </cols>
  <sheetData>
    <row r="1" spans="1:17" ht="18" thickBot="1" x14ac:dyDescent="0.3">
      <c r="A1" s="16" t="s">
        <v>15</v>
      </c>
      <c r="B1" s="16" t="s">
        <v>16</v>
      </c>
      <c r="C1" s="16" t="s">
        <v>17</v>
      </c>
      <c r="D1" s="16" t="s">
        <v>52</v>
      </c>
      <c r="E1" s="16" t="s">
        <v>18</v>
      </c>
      <c r="F1" s="16" t="s">
        <v>65</v>
      </c>
      <c r="H1" s="18" t="s">
        <v>17</v>
      </c>
      <c r="I1" s="19" t="s">
        <v>10</v>
      </c>
      <c r="J1" s="19" t="s">
        <v>24</v>
      </c>
      <c r="K1" s="19" t="s">
        <v>26</v>
      </c>
      <c r="L1" s="19" t="s">
        <v>25</v>
      </c>
      <c r="M1" s="19" t="s">
        <v>27</v>
      </c>
    </row>
    <row r="2" spans="1:17" ht="18" thickBot="1" x14ac:dyDescent="0.3">
      <c r="A2" s="15" t="s">
        <v>44</v>
      </c>
      <c r="B2" s="15" t="s">
        <v>53</v>
      </c>
      <c r="C2" s="15" t="s">
        <v>10</v>
      </c>
      <c r="D2" s="15" t="s">
        <v>54</v>
      </c>
      <c r="E2" s="15">
        <v>45000</v>
      </c>
      <c r="F2" s="15">
        <v>2019</v>
      </c>
      <c r="H2" s="20" t="s">
        <v>71</v>
      </c>
      <c r="I2" s="17">
        <v>0.1</v>
      </c>
      <c r="J2" s="17">
        <v>0.08</v>
      </c>
      <c r="K2" s="17">
        <v>0.12</v>
      </c>
      <c r="L2" s="17">
        <v>0.15</v>
      </c>
      <c r="M2" s="17">
        <v>0.09</v>
      </c>
    </row>
    <row r="3" spans="1:17" ht="18" thickBot="1" x14ac:dyDescent="0.3">
      <c r="A3" s="15" t="s">
        <v>45</v>
      </c>
      <c r="B3" s="15" t="s">
        <v>55</v>
      </c>
      <c r="C3" s="15" t="s">
        <v>24</v>
      </c>
      <c r="D3" s="15" t="s">
        <v>56</v>
      </c>
      <c r="E3" s="15">
        <v>52000</v>
      </c>
      <c r="F3" s="15">
        <v>2018</v>
      </c>
    </row>
    <row r="4" spans="1:17" ht="18" thickBot="1" x14ac:dyDescent="0.3">
      <c r="A4" s="15" t="s">
        <v>46</v>
      </c>
      <c r="B4" s="15" t="s">
        <v>57</v>
      </c>
      <c r="C4" s="15" t="s">
        <v>26</v>
      </c>
      <c r="D4" s="15" t="s">
        <v>58</v>
      </c>
      <c r="E4" s="15">
        <v>65000</v>
      </c>
      <c r="F4" s="15">
        <v>2020</v>
      </c>
    </row>
    <row r="5" spans="1:17" ht="18" thickBot="1" x14ac:dyDescent="0.3">
      <c r="A5" s="15" t="s">
        <v>48</v>
      </c>
      <c r="B5" s="15" t="s">
        <v>59</v>
      </c>
      <c r="C5" s="15" t="s">
        <v>25</v>
      </c>
      <c r="D5" s="15" t="s">
        <v>60</v>
      </c>
      <c r="E5" s="15">
        <v>58000</v>
      </c>
      <c r="F5" s="15">
        <v>2017</v>
      </c>
      <c r="I5" s="16" t="s">
        <v>15</v>
      </c>
      <c r="J5" s="16" t="s">
        <v>18</v>
      </c>
      <c r="M5" s="23" t="s">
        <v>15</v>
      </c>
      <c r="N5" s="23" t="s">
        <v>17</v>
      </c>
      <c r="O5" s="23" t="s">
        <v>18</v>
      </c>
      <c r="P5" s="23" t="s">
        <v>71</v>
      </c>
      <c r="Q5" s="23" t="s">
        <v>73</v>
      </c>
    </row>
    <row r="6" spans="1:17" ht="18" thickBot="1" x14ac:dyDescent="0.3">
      <c r="A6" s="15" t="s">
        <v>50</v>
      </c>
      <c r="B6" s="15" t="s">
        <v>61</v>
      </c>
      <c r="C6" s="15" t="s">
        <v>27</v>
      </c>
      <c r="D6" s="15" t="s">
        <v>54</v>
      </c>
      <c r="E6" s="15">
        <v>48000</v>
      </c>
      <c r="F6" s="15">
        <v>2021</v>
      </c>
      <c r="P6" s="24"/>
    </row>
    <row r="7" spans="1:17" ht="18" thickBot="1" x14ac:dyDescent="0.3">
      <c r="A7" s="15" t="s">
        <v>62</v>
      </c>
      <c r="B7" s="15" t="s">
        <v>63</v>
      </c>
      <c r="C7" s="15" t="s">
        <v>26</v>
      </c>
      <c r="D7" s="15" t="s">
        <v>64</v>
      </c>
      <c r="E7" s="15">
        <v>62000</v>
      </c>
      <c r="F7" s="15">
        <v>2019</v>
      </c>
    </row>
    <row r="8" spans="1:17" ht="18" thickBot="1" x14ac:dyDescent="0.3">
      <c r="A8" s="15" t="s">
        <v>66</v>
      </c>
      <c r="B8" s="15" t="s">
        <v>67</v>
      </c>
      <c r="C8" s="15" t="s">
        <v>10</v>
      </c>
      <c r="D8" s="15" t="s">
        <v>68</v>
      </c>
      <c r="E8" s="15">
        <v>47000</v>
      </c>
      <c r="F8" s="15">
        <v>2020</v>
      </c>
    </row>
    <row r="9" spans="1:17" ht="18" thickBot="1" x14ac:dyDescent="0.3">
      <c r="A9" s="15" t="s">
        <v>69</v>
      </c>
      <c r="B9" s="15" t="s">
        <v>70</v>
      </c>
      <c r="C9" s="15" t="s">
        <v>24</v>
      </c>
      <c r="D9" s="15" t="s">
        <v>58</v>
      </c>
      <c r="E9" s="15">
        <v>54000</v>
      </c>
      <c r="F9" s="15">
        <v>2016</v>
      </c>
      <c r="H9" s="18" t="s">
        <v>17</v>
      </c>
    </row>
    <row r="10" spans="1:17" ht="18" thickBot="1" x14ac:dyDescent="0.3">
      <c r="H10" s="20" t="s">
        <v>71</v>
      </c>
      <c r="I10" s="21"/>
    </row>
    <row r="13" spans="1:17" ht="42.75" customHeight="1" x14ac:dyDescent="0.25">
      <c r="A13" s="32" t="s">
        <v>72</v>
      </c>
      <c r="B13" s="32"/>
      <c r="C13" s="32"/>
    </row>
  </sheetData>
  <mergeCells count="1">
    <mergeCell ref="A13:C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102B2-F93F-4FE6-AA26-382ABB013726}">
  <dimension ref="A1:G6"/>
  <sheetViews>
    <sheetView zoomScale="175" zoomScaleNormal="175" workbookViewId="0">
      <selection activeCell="E8" sqref="E8"/>
    </sheetView>
  </sheetViews>
  <sheetFormatPr defaultRowHeight="15" x14ac:dyDescent="0.25"/>
  <cols>
    <col min="1" max="1" width="5.5703125" bestFit="1" customWidth="1"/>
    <col min="2" max="2" width="8.140625" bestFit="1" customWidth="1"/>
    <col min="3" max="3" width="13.5703125" bestFit="1" customWidth="1"/>
    <col min="4" max="4" width="13.28515625" customWidth="1"/>
    <col min="7" max="7" width="13" customWidth="1"/>
  </cols>
  <sheetData>
    <row r="1" spans="1:7" ht="16.5" x14ac:dyDescent="0.25">
      <c r="A1" s="26" t="s">
        <v>43</v>
      </c>
      <c r="B1" s="26" t="s">
        <v>16</v>
      </c>
      <c r="C1" s="26" t="s">
        <v>17</v>
      </c>
      <c r="D1" s="26" t="s">
        <v>18</v>
      </c>
    </row>
    <row r="2" spans="1:7" ht="16.5" x14ac:dyDescent="0.25">
      <c r="A2" s="14" t="s">
        <v>44</v>
      </c>
      <c r="B2" s="14" t="s">
        <v>20</v>
      </c>
      <c r="C2" s="14" t="s">
        <v>24</v>
      </c>
      <c r="D2" s="14">
        <v>50000</v>
      </c>
      <c r="F2" s="25"/>
      <c r="G2" s="13"/>
    </row>
    <row r="3" spans="1:7" ht="16.5" x14ac:dyDescent="0.25">
      <c r="A3" s="14" t="s">
        <v>45</v>
      </c>
      <c r="B3" s="14" t="s">
        <v>21</v>
      </c>
      <c r="C3" s="14" t="s">
        <v>26</v>
      </c>
      <c r="D3" s="14">
        <v>60000</v>
      </c>
    </row>
    <row r="4" spans="1:7" ht="16.5" x14ac:dyDescent="0.25">
      <c r="A4" s="14" t="s">
        <v>46</v>
      </c>
      <c r="B4" s="14" t="s">
        <v>47</v>
      </c>
      <c r="C4" s="14" t="s">
        <v>25</v>
      </c>
      <c r="D4" s="14">
        <v>55000</v>
      </c>
      <c r="F4" s="25"/>
    </row>
    <row r="5" spans="1:7" ht="16.5" x14ac:dyDescent="0.25">
      <c r="A5" s="14" t="s">
        <v>48</v>
      </c>
      <c r="B5" s="14" t="s">
        <v>49</v>
      </c>
      <c r="C5" s="14" t="s">
        <v>26</v>
      </c>
      <c r="D5" s="14">
        <v>70000</v>
      </c>
      <c r="F5" s="25"/>
    </row>
    <row r="6" spans="1:7" ht="16.5" x14ac:dyDescent="0.25">
      <c r="A6" s="14" t="s">
        <v>50</v>
      </c>
      <c r="B6" s="14" t="s">
        <v>51</v>
      </c>
      <c r="C6" s="14" t="s">
        <v>24</v>
      </c>
      <c r="D6" s="14">
        <v>65000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1139-A8A4-4BEA-A5AA-24C51D114EB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</vt:lpstr>
      <vt:lpstr>VLOOKUP_Basics</vt:lpstr>
      <vt:lpstr>HLOOKUP_Basics</vt:lpstr>
      <vt:lpstr>XLOOKUP_Basics</vt:lpstr>
      <vt:lpstr>Another</vt:lpstr>
      <vt:lpstr>Challenge_Tasks</vt:lpstr>
      <vt:lpstr>Task</vt:lpstr>
      <vt:lpstr>Index match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Sharma</cp:lastModifiedBy>
  <dcterms:created xsi:type="dcterms:W3CDTF">2026-01-31T10:41:46Z</dcterms:created>
  <dcterms:modified xsi:type="dcterms:W3CDTF">2026-02-28T11:45:01Z</dcterms:modified>
</cp:coreProperties>
</file>