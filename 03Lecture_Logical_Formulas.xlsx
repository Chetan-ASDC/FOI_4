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FOI_4\"/>
    </mc:Choice>
  </mc:AlternateContent>
  <xr:revisionPtr revIDLastSave="0" documentId="13_ncr:1_{F83DABD9-CE41-4ED9-8CBE-6A82029821A5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Student_Result_IF" sheetId="1" r:id="rId1"/>
    <sheet name="Grading_Nested_IF" sheetId="2" r:id="rId2"/>
    <sheet name="Eligibility_AND" sheetId="3" r:id="rId3"/>
    <sheet name="Discount_OR" sheetId="4" r:id="rId4"/>
    <sheet name="Attendance_NOT" sheetId="5" r:id="rId5"/>
    <sheet name="IFERROR_Division" sheetId="6" r:id="rId6"/>
    <sheet name="Faculty_Evaluation" sheetId="7" r:id="rId7"/>
    <sheet name="CountIf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2" i="6"/>
  <c r="C3" i="5"/>
  <c r="C4" i="5"/>
  <c r="C5" i="5"/>
  <c r="C6" i="5"/>
  <c r="C2" i="5"/>
  <c r="D3" i="4"/>
  <c r="D4" i="4"/>
  <c r="D5" i="4"/>
  <c r="D6" i="4"/>
  <c r="D2" i="4"/>
  <c r="D3" i="3"/>
  <c r="D4" i="3"/>
  <c r="D5" i="3"/>
  <c r="D6" i="3"/>
  <c r="D2" i="3"/>
  <c r="C3" i="2"/>
  <c r="C4" i="2"/>
  <c r="C5" i="2"/>
  <c r="C6" i="2"/>
  <c r="C2" i="2"/>
  <c r="D3" i="1"/>
  <c r="D4" i="1"/>
  <c r="D5" i="1"/>
  <c r="D6" i="1"/>
  <c r="D7" i="1"/>
  <c r="D2" i="1"/>
  <c r="I10" i="8"/>
  <c r="I9" i="8"/>
  <c r="F14" i="8"/>
</calcChain>
</file>

<file path=xl/sharedStrings.xml><?xml version="1.0" encoding="utf-8"?>
<sst xmlns="http://schemas.openxmlformats.org/spreadsheetml/2006/main" count="88" uniqueCount="60">
  <si>
    <t>Roll No</t>
  </si>
  <si>
    <t>Student Name</t>
  </si>
  <si>
    <t>Marks</t>
  </si>
  <si>
    <t>Result</t>
  </si>
  <si>
    <t>Aman</t>
  </si>
  <si>
    <t>Bharti</t>
  </si>
  <si>
    <t>Chetan</t>
  </si>
  <si>
    <t>Deepa</t>
  </si>
  <si>
    <t>Farhan</t>
  </si>
  <si>
    <t>Gaurav</t>
  </si>
  <si>
    <t>Grade</t>
  </si>
  <si>
    <t>Name</t>
  </si>
  <si>
    <t>Age</t>
  </si>
  <si>
    <t>Experience (Years)</t>
  </si>
  <si>
    <t>Eligible</t>
  </si>
  <si>
    <t>Rohit</t>
  </si>
  <si>
    <t>Simran</t>
  </si>
  <si>
    <t>Vijay</t>
  </si>
  <si>
    <t>Nisha</t>
  </si>
  <si>
    <t>Arjun</t>
  </si>
  <si>
    <t>Customer Name</t>
  </si>
  <si>
    <t>Purchase Amount</t>
  </si>
  <si>
    <t>Membership</t>
  </si>
  <si>
    <t>Discount</t>
  </si>
  <si>
    <t>Aakash</t>
  </si>
  <si>
    <t>No</t>
  </si>
  <si>
    <t>Bhavna</t>
  </si>
  <si>
    <t>Yes</t>
  </si>
  <si>
    <t>Divya</t>
  </si>
  <si>
    <t>Esha</t>
  </si>
  <si>
    <t>Present</t>
  </si>
  <si>
    <t>Attendance Status</t>
  </si>
  <si>
    <t>Number 1</t>
  </si>
  <si>
    <t>Number 2</t>
  </si>
  <si>
    <t>Faculty Name</t>
  </si>
  <si>
    <t>Classes Conducted</t>
  </si>
  <si>
    <t>Attendance %</t>
  </si>
  <si>
    <t>Performance</t>
  </si>
  <si>
    <t>Rajesh</t>
  </si>
  <si>
    <t>Sunita</t>
  </si>
  <si>
    <t>Manoj</t>
  </si>
  <si>
    <t>Kavita</t>
  </si>
  <si>
    <t>Anil</t>
  </si>
  <si>
    <t>Column: Result
Condition: Marks ≥ 40 → Pass, else Fail</t>
  </si>
  <si>
    <t>Column: Grade
Grading Rules:
≥ 75 → A
≥ 60 → B
≥ 40 → C
&lt; 40 → Fail</t>
  </si>
  <si>
    <t>Column: Eligible
Condition:
Age ≥ 21
Experience ≥ 1 year</t>
  </si>
  <si>
    <t>Column: Discount
Condition:
Purchase ≥ 10000
OR Membership = "Yes"</t>
  </si>
  <si>
    <t>Column: Attendance Status
Logic:
If Present = TRUE → Present
If Present = FALSE → Absent</t>
  </si>
  <si>
    <t>Column: Result
Logic:
Divide Number 1 by Number 2
If error → "Invalid"</t>
  </si>
  <si>
    <t>Column: Performance
Logic:
Attendance ≥ 90 AND Classes ≥ 40 → Excellent
Attendance ≥ 80 → Good
Else → Needs Improvement</t>
  </si>
  <si>
    <t>Absent</t>
  </si>
  <si>
    <t>Order ID</t>
  </si>
  <si>
    <t>Sales Amount</t>
  </si>
  <si>
    <t>O101</t>
  </si>
  <si>
    <t>O102</t>
  </si>
  <si>
    <t>O103</t>
  </si>
  <si>
    <t>O104</t>
  </si>
  <si>
    <t>O105</t>
  </si>
  <si>
    <t>O106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</si>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</sst>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opLeftCell="B1" zoomScale="160" zoomScaleNormal="160" workbookViewId="0">
      <selection activeCell="E13" sqref="E1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>
        <v>1</v>
      </c>
      <c r="B2" t="s">
        <v>4</v>
      </c>
      <c r="C2">
        <v>78</v>
      </c>
      <c r="D2" t="str">
        <f>IF(C2&gt;=40,"Pass", "Fail")</f>
        <v>Pass</v>
      </c>
    </row>
    <row r="3" spans="1:13" x14ac:dyDescent="0.25">
      <c r="A3">
        <v>2</v>
      </c>
      <c r="B3" t="s">
        <v>5</v>
      </c>
      <c r="C3">
        <v>35</v>
      </c>
      <c r="D3" t="str">
        <f t="shared" ref="D3:D7" si="0">IF(C3&gt;=40,"Pass", "Fail")</f>
        <v>Fail</v>
      </c>
      <c r="I3" s="5" t="s">
        <v>43</v>
      </c>
      <c r="J3" s="6"/>
      <c r="K3" s="6"/>
      <c r="L3" s="6"/>
      <c r="M3" s="6"/>
    </row>
    <row r="4" spans="1:13" x14ac:dyDescent="0.25">
      <c r="A4">
        <v>3</v>
      </c>
      <c r="B4" t="s">
        <v>59</v>
      </c>
      <c r="C4">
        <v>62</v>
      </c>
      <c r="D4" t="str">
        <f t="shared" si="0"/>
        <v>Pass</v>
      </c>
      <c r="I4" s="6"/>
      <c r="J4" s="6"/>
      <c r="K4" s="6"/>
      <c r="L4" s="6"/>
      <c r="M4" s="6"/>
    </row>
    <row r="5" spans="1:13" x14ac:dyDescent="0.25">
      <c r="A5">
        <v>4</v>
      </c>
      <c r="B5" t="s">
        <v>7</v>
      </c>
      <c r="C5">
        <v>40</v>
      </c>
      <c r="D5" t="str">
        <f t="shared" si="0"/>
        <v>Pass</v>
      </c>
      <c r="I5" s="6"/>
      <c r="J5" s="6"/>
      <c r="K5" s="6"/>
      <c r="L5" s="6"/>
      <c r="M5" s="6"/>
    </row>
    <row r="6" spans="1:13" x14ac:dyDescent="0.25">
      <c r="A6">
        <v>5</v>
      </c>
      <c r="B6" t="s">
        <v>8</v>
      </c>
      <c r="C6">
        <v>28</v>
      </c>
      <c r="D6" t="str">
        <f t="shared" si="0"/>
        <v>Fail</v>
      </c>
      <c r="I6" s="6"/>
      <c r="J6" s="6"/>
      <c r="K6" s="6"/>
      <c r="L6" s="6"/>
      <c r="M6" s="6"/>
    </row>
    <row r="7" spans="1:13" x14ac:dyDescent="0.25">
      <c r="A7">
        <v>6</v>
      </c>
      <c r="B7" t="s">
        <v>9</v>
      </c>
      <c r="C7">
        <v>85</v>
      </c>
      <c r="D7" t="str">
        <f t="shared" si="0"/>
        <v>Pass</v>
      </c>
    </row>
  </sheetData>
  <mergeCells count="1">
    <mergeCell ref="I3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130" zoomScaleNormal="130" workbookViewId="0">
      <selection activeCell="F7" sqref="F7"/>
    </sheetView>
  </sheetViews>
  <sheetFormatPr defaultRowHeight="15" x14ac:dyDescent="0.25"/>
  <sheetData>
    <row r="1" spans="1:13" x14ac:dyDescent="0.25">
      <c r="A1" t="s">
        <v>1</v>
      </c>
      <c r="B1" t="s">
        <v>2</v>
      </c>
      <c r="C1" t="s">
        <v>10</v>
      </c>
    </row>
    <row r="2" spans="1:13" x14ac:dyDescent="0.25">
      <c r="A2" t="s">
        <v>4</v>
      </c>
      <c r="B2">
        <v>78</v>
      </c>
      <c r="C2" t="str">
        <f>IF(B2&gt;=75,"A",IF(B2&gt;=60,"B",IF(B2&gt;=40,"C","Fail")))</f>
        <v>A</v>
      </c>
    </row>
    <row r="3" spans="1:13" x14ac:dyDescent="0.25">
      <c r="A3" t="s">
        <v>5</v>
      </c>
      <c r="B3">
        <v>55</v>
      </c>
      <c r="C3" t="str">
        <f t="shared" ref="C3:C6" si="0">IF(B3&gt;=75,"A",IF(B3&gt;=60,"B",IF(B3&gt;=40,"C","Fail")))</f>
        <v>C</v>
      </c>
    </row>
    <row r="4" spans="1:13" ht="15" customHeight="1" x14ac:dyDescent="0.25">
      <c r="A4" t="s">
        <v>59</v>
      </c>
      <c r="B4">
        <v>68</v>
      </c>
      <c r="C4" t="str">
        <f t="shared" si="0"/>
        <v>B</v>
      </c>
      <c r="I4" s="5" t="s">
        <v>44</v>
      </c>
      <c r="J4" s="5"/>
      <c r="K4" s="5"/>
      <c r="L4" s="5"/>
      <c r="M4" s="5"/>
    </row>
    <row r="5" spans="1:13" x14ac:dyDescent="0.25">
      <c r="A5" t="s">
        <v>7</v>
      </c>
      <c r="B5">
        <v>42</v>
      </c>
      <c r="C5" t="str">
        <f t="shared" si="0"/>
        <v>C</v>
      </c>
      <c r="I5" s="5"/>
      <c r="J5" s="5"/>
      <c r="K5" s="5"/>
      <c r="L5" s="5"/>
      <c r="M5" s="5"/>
    </row>
    <row r="6" spans="1:13" x14ac:dyDescent="0.25">
      <c r="A6" t="s">
        <v>8</v>
      </c>
      <c r="B6">
        <v>29</v>
      </c>
      <c r="C6" t="str">
        <f t="shared" si="0"/>
        <v>Fail</v>
      </c>
      <c r="I6" s="5"/>
      <c r="J6" s="5"/>
      <c r="K6" s="5"/>
      <c r="L6" s="5"/>
      <c r="M6" s="5"/>
    </row>
    <row r="7" spans="1:13" x14ac:dyDescent="0.25">
      <c r="I7" s="5"/>
      <c r="J7" s="5"/>
      <c r="K7" s="5"/>
      <c r="L7" s="5"/>
      <c r="M7" s="5"/>
    </row>
    <row r="8" spans="1:13" x14ac:dyDescent="0.25">
      <c r="I8" s="5"/>
      <c r="J8" s="5"/>
      <c r="K8" s="5"/>
      <c r="L8" s="5"/>
      <c r="M8" s="5"/>
    </row>
    <row r="9" spans="1:13" x14ac:dyDescent="0.25">
      <c r="I9" s="5"/>
      <c r="J9" s="5"/>
      <c r="K9" s="5"/>
      <c r="L9" s="5"/>
      <c r="M9" s="5"/>
    </row>
    <row r="10" spans="1:13" x14ac:dyDescent="0.25">
      <c r="I10" s="5"/>
      <c r="J10" s="5"/>
      <c r="K10" s="5"/>
      <c r="L10" s="5"/>
      <c r="M10" s="5"/>
    </row>
    <row r="11" spans="1:13" x14ac:dyDescent="0.25">
      <c r="I11" s="5"/>
      <c r="J11" s="5"/>
      <c r="K11" s="5"/>
      <c r="L11" s="5"/>
      <c r="M11" s="5"/>
    </row>
    <row r="12" spans="1:13" x14ac:dyDescent="0.25">
      <c r="I12" s="5"/>
      <c r="J12" s="5"/>
      <c r="K12" s="5"/>
      <c r="L12" s="5"/>
      <c r="M12" s="5"/>
    </row>
    <row r="13" spans="1:13" x14ac:dyDescent="0.25">
      <c r="I13" s="5"/>
      <c r="J13" s="5"/>
      <c r="K13" s="5"/>
      <c r="L13" s="5"/>
      <c r="M13" s="5"/>
    </row>
    <row r="14" spans="1:13" x14ac:dyDescent="0.25">
      <c r="I14" s="5"/>
      <c r="J14" s="5"/>
      <c r="K14" s="5"/>
      <c r="L14" s="5"/>
      <c r="M14" s="5"/>
    </row>
    <row r="15" spans="1:13" x14ac:dyDescent="0.25">
      <c r="I15" s="5"/>
      <c r="J15" s="5"/>
      <c r="K15" s="5"/>
      <c r="L15" s="5"/>
      <c r="M15" s="5"/>
    </row>
    <row r="16" spans="1:13" x14ac:dyDescent="0.25">
      <c r="I16" s="5"/>
      <c r="J16" s="5"/>
      <c r="K16" s="5"/>
      <c r="L16" s="5"/>
      <c r="M16" s="5"/>
    </row>
    <row r="17" spans="9:13" x14ac:dyDescent="0.25">
      <c r="I17" s="5"/>
      <c r="J17" s="5"/>
      <c r="K17" s="5"/>
      <c r="L17" s="5"/>
      <c r="M17" s="5"/>
    </row>
    <row r="18" spans="9:13" x14ac:dyDescent="0.25">
      <c r="I18" s="5"/>
      <c r="J18" s="5"/>
      <c r="K18" s="5"/>
      <c r="L18" s="5"/>
      <c r="M18" s="5"/>
    </row>
  </sheetData>
  <mergeCells count="1">
    <mergeCell ref="I4:M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zoomScale="145" zoomScaleNormal="145" workbookViewId="0">
      <selection activeCell="D2" sqref="D2:D6"/>
    </sheetView>
  </sheetViews>
  <sheetFormatPr defaultRowHeight="15" x14ac:dyDescent="0.25"/>
  <cols>
    <col min="4" max="4" width="14.1406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</row>
    <row r="2" spans="1:14" x14ac:dyDescent="0.25">
      <c r="A2" t="s">
        <v>15</v>
      </c>
      <c r="B2">
        <v>25</v>
      </c>
      <c r="C2">
        <v>2</v>
      </c>
      <c r="D2" t="str">
        <f>IF(AND(B2&gt;=21, C2&gt;=1), "Eligible", "Not Eligible")</f>
        <v>Eligible</v>
      </c>
    </row>
    <row r="3" spans="1:14" x14ac:dyDescent="0.25">
      <c r="A3" t="s">
        <v>16</v>
      </c>
      <c r="B3">
        <v>19</v>
      </c>
      <c r="C3">
        <v>1</v>
      </c>
      <c r="D3" t="str">
        <f t="shared" ref="D3:D6" si="0">IF(AND(B3&gt;=21, C3&gt;=1), "Eligible", "Not Eligible")</f>
        <v>Not Eligible</v>
      </c>
    </row>
    <row r="4" spans="1:14" ht="15" customHeight="1" x14ac:dyDescent="0.25">
      <c r="A4" t="s">
        <v>17</v>
      </c>
      <c r="B4">
        <v>30</v>
      </c>
      <c r="C4">
        <v>5</v>
      </c>
      <c r="D4" t="str">
        <f t="shared" si="0"/>
        <v>Eligible</v>
      </c>
      <c r="J4" s="5" t="s">
        <v>45</v>
      </c>
      <c r="K4" s="5"/>
      <c r="L4" s="5"/>
      <c r="M4" s="5"/>
      <c r="N4" s="5"/>
    </row>
    <row r="5" spans="1:14" x14ac:dyDescent="0.25">
      <c r="A5" t="s">
        <v>18</v>
      </c>
      <c r="B5">
        <v>22</v>
      </c>
      <c r="C5">
        <v>0</v>
      </c>
      <c r="D5" t="str">
        <f t="shared" si="0"/>
        <v>Not Eligible</v>
      </c>
      <c r="J5" s="5"/>
      <c r="K5" s="5"/>
      <c r="L5" s="5"/>
      <c r="M5" s="5"/>
      <c r="N5" s="5"/>
    </row>
    <row r="6" spans="1:14" x14ac:dyDescent="0.25">
      <c r="A6" t="s">
        <v>19</v>
      </c>
      <c r="B6">
        <v>28</v>
      </c>
      <c r="C6">
        <v>3</v>
      </c>
      <c r="D6" t="str">
        <f t="shared" si="0"/>
        <v>Eligible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</sheetData>
  <mergeCells count="1">
    <mergeCell ref="J4:N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zoomScale="145" zoomScaleNormal="145" workbookViewId="0">
      <selection activeCell="F5" sqref="F5"/>
    </sheetView>
  </sheetViews>
  <sheetFormatPr defaultRowHeight="15" x14ac:dyDescent="0.25"/>
  <cols>
    <col min="4" max="4" width="14.28515625" customWidth="1"/>
  </cols>
  <sheetData>
    <row r="1" spans="1:14" x14ac:dyDescent="0.25">
      <c r="A1" t="s">
        <v>20</v>
      </c>
      <c r="B1" t="s">
        <v>21</v>
      </c>
      <c r="C1" t="s">
        <v>22</v>
      </c>
      <c r="D1" t="s">
        <v>23</v>
      </c>
    </row>
    <row r="2" spans="1:14" x14ac:dyDescent="0.25">
      <c r="A2" t="s">
        <v>24</v>
      </c>
      <c r="B2">
        <v>8000</v>
      </c>
      <c r="C2" t="s">
        <v>25</v>
      </c>
      <c r="D2" t="str">
        <f>IF(OR(B2&gt;=10000, C2 = "Yes"), "Discount", "No Discount")</f>
        <v>No Discount</v>
      </c>
    </row>
    <row r="3" spans="1:14" x14ac:dyDescent="0.25">
      <c r="A3" t="s">
        <v>26</v>
      </c>
      <c r="B3">
        <v>12000</v>
      </c>
      <c r="C3" t="s">
        <v>25</v>
      </c>
      <c r="D3" t="str">
        <f t="shared" ref="D3:D6" si="0">IF(OR(B3&gt;=10000, C3 = "Yes"), "Discount", "No Discount")</f>
        <v>Discount</v>
      </c>
    </row>
    <row r="4" spans="1:14" ht="15" customHeight="1" x14ac:dyDescent="0.25">
      <c r="A4" t="s">
        <v>59</v>
      </c>
      <c r="B4">
        <v>5000</v>
      </c>
      <c r="C4" t="s">
        <v>27</v>
      </c>
      <c r="D4" t="str">
        <f t="shared" si="0"/>
        <v>Discount</v>
      </c>
      <c r="J4" s="5" t="s">
        <v>46</v>
      </c>
      <c r="K4" s="5"/>
      <c r="L4" s="5"/>
      <c r="M4" s="5"/>
      <c r="N4" s="5"/>
    </row>
    <row r="5" spans="1:14" x14ac:dyDescent="0.25">
      <c r="A5" t="s">
        <v>28</v>
      </c>
      <c r="B5">
        <v>3000</v>
      </c>
      <c r="C5" t="s">
        <v>25</v>
      </c>
      <c r="D5" t="str">
        <f t="shared" si="0"/>
        <v>No Discount</v>
      </c>
      <c r="J5" s="5"/>
      <c r="K5" s="5"/>
      <c r="L5" s="5"/>
      <c r="M5" s="5"/>
      <c r="N5" s="5"/>
    </row>
    <row r="6" spans="1:14" x14ac:dyDescent="0.25">
      <c r="A6" t="s">
        <v>29</v>
      </c>
      <c r="B6">
        <v>15000</v>
      </c>
      <c r="C6" t="s">
        <v>27</v>
      </c>
      <c r="D6" t="str">
        <f t="shared" si="0"/>
        <v>Discount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  <row r="16" spans="1:14" x14ac:dyDescent="0.25">
      <c r="J16" s="5"/>
      <c r="K16" s="5"/>
      <c r="L16" s="5"/>
      <c r="M16" s="5"/>
      <c r="N16" s="5"/>
    </row>
  </sheetData>
  <mergeCells count="1">
    <mergeCell ref="J4:N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zoomScale="140" zoomScaleNormal="130" workbookViewId="0">
      <selection activeCell="E8" sqref="E8"/>
    </sheetView>
  </sheetViews>
  <sheetFormatPr defaultRowHeight="15" x14ac:dyDescent="0.25"/>
  <cols>
    <col min="3" max="3" width="18.140625" customWidth="1"/>
  </cols>
  <sheetData>
    <row r="1" spans="1:14" x14ac:dyDescent="0.25">
      <c r="A1" t="s">
        <v>11</v>
      </c>
      <c r="B1" t="s">
        <v>30</v>
      </c>
      <c r="C1" t="s">
        <v>31</v>
      </c>
    </row>
    <row r="2" spans="1:14" x14ac:dyDescent="0.25">
      <c r="A2" t="s">
        <v>4</v>
      </c>
      <c r="B2" t="b">
        <v>1</v>
      </c>
      <c r="C2" t="str">
        <f>IF(NOT(B2), "Absent", "Present")</f>
        <v>Present</v>
      </c>
    </row>
    <row r="3" spans="1:14" x14ac:dyDescent="0.25">
      <c r="A3" t="s">
        <v>5</v>
      </c>
      <c r="B3" t="b">
        <v>0</v>
      </c>
      <c r="C3" t="str">
        <f t="shared" ref="C3:C6" si="0">IF(NOT(B3), "Absent", "Present")</f>
        <v>Absent</v>
      </c>
    </row>
    <row r="4" spans="1:14" ht="15" customHeight="1" x14ac:dyDescent="0.25">
      <c r="A4" t="s">
        <v>6</v>
      </c>
      <c r="B4" t="b">
        <v>1</v>
      </c>
      <c r="C4" t="str">
        <f t="shared" si="0"/>
        <v>Present</v>
      </c>
      <c r="J4" s="5" t="s">
        <v>47</v>
      </c>
      <c r="K4" s="5"/>
      <c r="L4" s="5"/>
      <c r="M4" s="5"/>
      <c r="N4" s="5"/>
    </row>
    <row r="5" spans="1:14" x14ac:dyDescent="0.25">
      <c r="A5" t="s">
        <v>7</v>
      </c>
      <c r="B5" t="b">
        <v>0</v>
      </c>
      <c r="C5" t="str">
        <f t="shared" si="0"/>
        <v>Absent</v>
      </c>
      <c r="J5" s="5"/>
      <c r="K5" s="5"/>
      <c r="L5" s="5"/>
      <c r="M5" s="5"/>
      <c r="N5" s="5"/>
    </row>
    <row r="6" spans="1:14" x14ac:dyDescent="0.25">
      <c r="A6" t="s">
        <v>8</v>
      </c>
      <c r="B6" t="b">
        <v>1</v>
      </c>
      <c r="C6" t="str">
        <f t="shared" si="0"/>
        <v>Present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</sheetData>
  <mergeCells count="1">
    <mergeCell ref="J4:N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zoomScale="175" zoomScaleNormal="175" workbookViewId="0">
      <selection activeCell="E5" sqref="E5"/>
    </sheetView>
  </sheetViews>
  <sheetFormatPr defaultRowHeight="15" x14ac:dyDescent="0.25"/>
  <sheetData>
    <row r="1" spans="1:14" x14ac:dyDescent="0.25">
      <c r="A1" t="s">
        <v>32</v>
      </c>
      <c r="B1" t="s">
        <v>33</v>
      </c>
      <c r="C1" t="s">
        <v>3</v>
      </c>
    </row>
    <row r="2" spans="1:14" x14ac:dyDescent="0.25">
      <c r="A2">
        <v>10</v>
      </c>
      <c r="B2">
        <v>2</v>
      </c>
      <c r="C2">
        <f>IFERROR(A2/B2, "Invalid")</f>
        <v>5</v>
      </c>
    </row>
    <row r="3" spans="1:14" x14ac:dyDescent="0.25">
      <c r="A3">
        <v>15</v>
      </c>
      <c r="B3">
        <v>0</v>
      </c>
      <c r="C3" t="str">
        <f t="shared" ref="C3:C6" si="0">IFERROR(A3/B3, "Invalid")</f>
        <v>Invalid</v>
      </c>
    </row>
    <row r="4" spans="1:14" ht="15" customHeight="1" x14ac:dyDescent="0.25">
      <c r="A4">
        <v>20</v>
      </c>
      <c r="B4">
        <v>5</v>
      </c>
      <c r="C4">
        <f t="shared" si="0"/>
        <v>4</v>
      </c>
      <c r="J4" s="5" t="s">
        <v>48</v>
      </c>
      <c r="K4" s="5"/>
      <c r="L4" s="5"/>
      <c r="M4" s="5"/>
      <c r="N4" s="5"/>
    </row>
    <row r="5" spans="1:14" x14ac:dyDescent="0.25">
      <c r="A5">
        <v>8</v>
      </c>
      <c r="B5">
        <v>0</v>
      </c>
      <c r="C5" t="str">
        <f t="shared" si="0"/>
        <v>Invalid</v>
      </c>
      <c r="J5" s="5"/>
      <c r="K5" s="5"/>
      <c r="L5" s="5"/>
      <c r="M5" s="5"/>
      <c r="N5" s="5"/>
    </row>
    <row r="6" spans="1:14" x14ac:dyDescent="0.25">
      <c r="A6">
        <v>25</v>
      </c>
      <c r="B6">
        <v>5</v>
      </c>
      <c r="C6">
        <f t="shared" si="0"/>
        <v>5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  <row r="16" spans="1:14" x14ac:dyDescent="0.25">
      <c r="J16" s="5"/>
      <c r="K16" s="5"/>
      <c r="L16" s="5"/>
      <c r="M16" s="5"/>
      <c r="N16" s="5"/>
    </row>
    <row r="17" spans="10:14" x14ac:dyDescent="0.25">
      <c r="J17" s="5"/>
      <c r="K17" s="5"/>
      <c r="L17" s="5"/>
      <c r="M17" s="5"/>
      <c r="N17" s="5"/>
    </row>
  </sheetData>
  <mergeCells count="1">
    <mergeCell ref="J4:N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tabSelected="1" zoomScale="145" zoomScaleNormal="145" workbookViewId="0">
      <selection activeCell="I13" sqref="I13"/>
    </sheetView>
  </sheetViews>
  <sheetFormatPr defaultRowHeight="15" x14ac:dyDescent="0.25"/>
  <cols>
    <col min="4" max="4" width="22.5703125" customWidth="1"/>
  </cols>
  <sheetData>
    <row r="1" spans="1:14" x14ac:dyDescent="0.25">
      <c r="A1" t="s">
        <v>34</v>
      </c>
      <c r="B1" t="s">
        <v>35</v>
      </c>
      <c r="C1" t="s">
        <v>36</v>
      </c>
      <c r="D1" t="s">
        <v>37</v>
      </c>
    </row>
    <row r="2" spans="1:14" x14ac:dyDescent="0.25">
      <c r="A2" t="s">
        <v>38</v>
      </c>
      <c r="B2">
        <v>45</v>
      </c>
      <c r="C2">
        <v>92</v>
      </c>
    </row>
    <row r="3" spans="1:14" x14ac:dyDescent="0.25">
      <c r="A3" t="s">
        <v>39</v>
      </c>
      <c r="B3">
        <v>38</v>
      </c>
      <c r="C3">
        <v>85</v>
      </c>
    </row>
    <row r="4" spans="1:14" ht="15" customHeight="1" x14ac:dyDescent="0.25">
      <c r="A4" t="s">
        <v>40</v>
      </c>
      <c r="B4">
        <v>50</v>
      </c>
      <c r="C4">
        <v>95</v>
      </c>
      <c r="J4" s="5" t="s">
        <v>49</v>
      </c>
      <c r="K4" s="5"/>
      <c r="L4" s="5"/>
      <c r="M4" s="5"/>
      <c r="N4" s="5"/>
    </row>
    <row r="5" spans="1:14" x14ac:dyDescent="0.25">
      <c r="A5" t="s">
        <v>41</v>
      </c>
      <c r="B5">
        <v>30</v>
      </c>
      <c r="C5">
        <v>70</v>
      </c>
      <c r="J5" s="5"/>
      <c r="K5" s="5"/>
      <c r="L5" s="5"/>
      <c r="M5" s="5"/>
      <c r="N5" s="5"/>
    </row>
    <row r="6" spans="1:14" x14ac:dyDescent="0.25">
      <c r="A6" t="s">
        <v>42</v>
      </c>
      <c r="B6">
        <v>42</v>
      </c>
      <c r="C6">
        <v>88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</sheetData>
  <mergeCells count="1">
    <mergeCell ref="J4:N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ACF8-E942-458D-AF20-5DFEDEBD6707}">
  <dimension ref="F1:I14"/>
  <sheetViews>
    <sheetView topLeftCell="A2" zoomScale="145" zoomScaleNormal="145" workbookViewId="0">
      <selection activeCell="I10" sqref="I10"/>
    </sheetView>
  </sheetViews>
  <sheetFormatPr defaultRowHeight="15" x14ac:dyDescent="0.25"/>
  <cols>
    <col min="8" max="8" width="17" customWidth="1"/>
    <col min="9" max="9" width="19.42578125" customWidth="1"/>
  </cols>
  <sheetData>
    <row r="1" spans="6:9" ht="15.75" thickBot="1" x14ac:dyDescent="0.3"/>
    <row r="2" spans="6:9" ht="52.5" thickBot="1" x14ac:dyDescent="0.3">
      <c r="F2" s="1" t="s">
        <v>30</v>
      </c>
      <c r="H2" s="2" t="s">
        <v>51</v>
      </c>
      <c r="I2" s="2" t="s">
        <v>52</v>
      </c>
    </row>
    <row r="3" spans="6:9" ht="18" thickBot="1" x14ac:dyDescent="0.3">
      <c r="F3" s="1" t="s">
        <v>30</v>
      </c>
      <c r="H3" s="3" t="s">
        <v>53</v>
      </c>
      <c r="I3" s="3">
        <v>4500</v>
      </c>
    </row>
    <row r="4" spans="6:9" ht="18" thickBot="1" x14ac:dyDescent="0.3">
      <c r="F4" s="1" t="s">
        <v>30</v>
      </c>
      <c r="H4" s="4" t="s">
        <v>54</v>
      </c>
      <c r="I4" s="4">
        <v>12000</v>
      </c>
    </row>
    <row r="5" spans="6:9" ht="18" thickBot="1" x14ac:dyDescent="0.3">
      <c r="F5" s="1" t="s">
        <v>30</v>
      </c>
      <c r="H5" s="3" t="s">
        <v>55</v>
      </c>
      <c r="I5" s="3">
        <v>8000</v>
      </c>
    </row>
    <row r="6" spans="6:9" ht="18" thickBot="1" x14ac:dyDescent="0.3">
      <c r="F6" s="1" t="s">
        <v>50</v>
      </c>
      <c r="H6" s="4" t="s">
        <v>56</v>
      </c>
      <c r="I6" s="4">
        <v>25000</v>
      </c>
    </row>
    <row r="7" spans="6:9" ht="18" thickBot="1" x14ac:dyDescent="0.3">
      <c r="F7" s="1" t="s">
        <v>30</v>
      </c>
      <c r="H7" s="3" t="s">
        <v>57</v>
      </c>
      <c r="I7" s="3">
        <v>3000</v>
      </c>
    </row>
    <row r="8" spans="6:9" ht="18" thickBot="1" x14ac:dyDescent="0.3">
      <c r="F8" s="1" t="s">
        <v>50</v>
      </c>
      <c r="H8" s="4" t="s">
        <v>58</v>
      </c>
      <c r="I8" s="4">
        <v>15000</v>
      </c>
    </row>
    <row r="9" spans="6:9" x14ac:dyDescent="0.25">
      <c r="F9" s="1" t="s">
        <v>50</v>
      </c>
      <c r="I9">
        <f>COUNTIF(I3:I8,"&gt;10000")</f>
        <v>3</v>
      </c>
    </row>
    <row r="10" spans="6:9" x14ac:dyDescent="0.25">
      <c r="F10" s="1" t="s">
        <v>30</v>
      </c>
      <c r="I10">
        <f>COUNTIF(I3:I8,"&lt;4000")</f>
        <v>1</v>
      </c>
    </row>
    <row r="11" spans="6:9" x14ac:dyDescent="0.25">
      <c r="F11" s="1" t="s">
        <v>30</v>
      </c>
    </row>
    <row r="12" spans="6:9" x14ac:dyDescent="0.25">
      <c r="F12" s="1" t="s">
        <v>30</v>
      </c>
    </row>
    <row r="13" spans="6:9" x14ac:dyDescent="0.25">
      <c r="F13" s="1" t="s">
        <v>30</v>
      </c>
    </row>
    <row r="14" spans="6:9" x14ac:dyDescent="0.25">
      <c r="F14">
        <f>COUNTIF(F2:F13,"Present")</f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Student_Result_IF</vt:lpstr>
      <vt:lpstr>Grading_Nested_IF</vt:lpstr>
      <vt:lpstr>Eligibility_AND</vt:lpstr>
      <vt:lpstr>Discount_OR</vt:lpstr>
      <vt:lpstr>Attendance_NOT</vt:lpstr>
      <vt:lpstr>IFERROR_Division</vt:lpstr>
      <vt:lpstr>Faculty_Evaluation</vt:lpstr>
      <vt:lpstr>CountIf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2026-01-25T04:24:02Z</dcterms:created>
  <dcterms:modified xsi:type="dcterms:W3CDTF">2026-02-22T10:18:10Z</dcterms:modified>
</cp:coreProperties>
</file>